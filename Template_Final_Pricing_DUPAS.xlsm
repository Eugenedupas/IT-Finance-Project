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ugenedupas/Desktop/Cours EDHEC/Pricing Derivatives with VBA/Projet VBA Pricing/"/>
    </mc:Choice>
  </mc:AlternateContent>
  <xr:revisionPtr revIDLastSave="0" documentId="13_ncr:1_{5163AC20-8079-1B44-88FA-2BBFD7691631}" xr6:coauthVersionLast="47" xr6:coauthVersionMax="47" xr10:uidLastSave="{00000000-0000-0000-0000-000000000000}"/>
  <bookViews>
    <workbookView xWindow="7920" yWindow="500" windowWidth="19760" windowHeight="16180" activeTab="2" xr2:uid="{647BF493-0DFD-494E-9712-E53DCD9473FB}"/>
  </bookViews>
  <sheets>
    <sheet name="Weekly delta hedging" sheetId="1" r:id="rId1"/>
    <sheet name="Weekly stop-loss" sheetId="3" r:id="rId2"/>
    <sheet name="Monte Carlo delta hedge" sheetId="4" r:id="rId3"/>
    <sheet name="Monte Carlo Stop loss hedge" sheetId="5" r:id="rId4"/>
    <sheet name="Strategies Comparison" sheetId="9" r:id="rId5"/>
  </sheets>
  <functionGroups builtInGroupCount="19"/>
  <definedNames>
    <definedName name="_xleta.DELT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5" l="1"/>
  <c r="H3" i="3" l="1"/>
  <c r="G4" i="3"/>
  <c r="D4" i="9" a="1"/>
  <c r="D4" i="9" s="1"/>
  <c r="C4" i="9" a="1"/>
  <c r="C4" i="9" s="1"/>
  <c r="B6" i="4"/>
  <c r="H3" i="1"/>
  <c r="F3" i="1"/>
  <c r="G4" i="1"/>
  <c r="I3" i="1"/>
  <c r="B4" i="1" l="1"/>
  <c r="J3" i="3" l="1"/>
  <c r="D3" i="3"/>
  <c r="F3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B5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C3" i="1"/>
  <c r="D3" i="1" s="1"/>
  <c r="B4" i="3" l="1"/>
  <c r="C5" i="1"/>
  <c r="B6" i="1"/>
  <c r="C4" i="1"/>
  <c r="D4" i="1" s="1"/>
  <c r="F4" i="1" l="1"/>
  <c r="H4" i="1" s="1"/>
  <c r="I4" i="1"/>
  <c r="B5" i="3"/>
  <c r="D4" i="3"/>
  <c r="B7" i="1"/>
  <c r="C6" i="1"/>
  <c r="G5" i="1" l="1"/>
  <c r="I4" i="3"/>
  <c r="F4" i="3"/>
  <c r="B6" i="3"/>
  <c r="C7" i="1"/>
  <c r="B8" i="1"/>
  <c r="B9" i="1" s="1"/>
  <c r="D5" i="1"/>
  <c r="F5" i="1" s="1"/>
  <c r="H4" i="3" l="1"/>
  <c r="H5" i="1"/>
  <c r="G6" i="1" s="1"/>
  <c r="D5" i="3"/>
  <c r="F5" i="3" s="1"/>
  <c r="J4" i="3"/>
  <c r="B7" i="3"/>
  <c r="C8" i="1"/>
  <c r="I5" i="1"/>
  <c r="D6" i="1" s="1"/>
  <c r="G5" i="3" l="1"/>
  <c r="H5" i="3" s="1"/>
  <c r="I5" i="3"/>
  <c r="D6" i="3" s="1"/>
  <c r="F6" i="3" s="1"/>
  <c r="B8" i="3"/>
  <c r="B10" i="1"/>
  <c r="C9" i="1"/>
  <c r="F6" i="1"/>
  <c r="H6" i="1" s="1"/>
  <c r="G7" i="1" s="1"/>
  <c r="G6" i="3" l="1"/>
  <c r="H6" i="3" s="1"/>
  <c r="G7" i="3" s="1"/>
  <c r="J5" i="3"/>
  <c r="I6" i="3"/>
  <c r="D7" i="3" s="1"/>
  <c r="F7" i="3" s="1"/>
  <c r="B9" i="3"/>
  <c r="I6" i="1"/>
  <c r="C10" i="1"/>
  <c r="B11" i="1"/>
  <c r="H7" i="3" l="1"/>
  <c r="J6" i="3"/>
  <c r="I7" i="3"/>
  <c r="B10" i="3"/>
  <c r="B12" i="1"/>
  <c r="C11" i="1"/>
  <c r="D7" i="1"/>
  <c r="F7" i="1" s="1"/>
  <c r="H7" i="1" s="1"/>
  <c r="G8" i="1" s="1"/>
  <c r="G8" i="3" l="1"/>
  <c r="J7" i="3"/>
  <c r="D8" i="3"/>
  <c r="F8" i="3" s="1"/>
  <c r="B11" i="3"/>
  <c r="I7" i="1"/>
  <c r="C12" i="1"/>
  <c r="B13" i="1"/>
  <c r="H8" i="3" l="1"/>
  <c r="B12" i="3"/>
  <c r="I8" i="3"/>
  <c r="C13" i="1"/>
  <c r="B14" i="1"/>
  <c r="D8" i="1"/>
  <c r="F8" i="1" s="1"/>
  <c r="H8" i="1" s="1"/>
  <c r="G9" i="1" s="1"/>
  <c r="G9" i="3" l="1"/>
  <c r="B13" i="3"/>
  <c r="J8" i="3"/>
  <c r="D9" i="3"/>
  <c r="F9" i="3" s="1"/>
  <c r="I8" i="1"/>
  <c r="B15" i="1"/>
  <c r="C14" i="1"/>
  <c r="H9" i="3" l="1"/>
  <c r="G10" i="3" s="1"/>
  <c r="I9" i="3"/>
  <c r="D10" i="3" s="1"/>
  <c r="F10" i="3" s="1"/>
  <c r="B14" i="3"/>
  <c r="C15" i="1"/>
  <c r="B16" i="1"/>
  <c r="D9" i="1"/>
  <c r="F9" i="1" s="1"/>
  <c r="H9" i="1" s="1"/>
  <c r="G10" i="1" s="1"/>
  <c r="J9" i="3" l="1"/>
  <c r="B15" i="3"/>
  <c r="I9" i="1"/>
  <c r="B17" i="1"/>
  <c r="C16" i="1"/>
  <c r="I10" i="3" l="1"/>
  <c r="D11" i="3" s="1"/>
  <c r="F11" i="3" s="1"/>
  <c r="B16" i="3"/>
  <c r="B18" i="1"/>
  <c r="C18" i="1" s="1"/>
  <c r="C17" i="1"/>
  <c r="D10" i="1"/>
  <c r="H10" i="3" l="1"/>
  <c r="F10" i="1"/>
  <c r="H10" i="1" s="1"/>
  <c r="G11" i="1" s="1"/>
  <c r="J10" i="3"/>
  <c r="B17" i="3"/>
  <c r="I10" i="1"/>
  <c r="D11" i="1" s="1"/>
  <c r="B19" i="1"/>
  <c r="G11" i="3" l="1"/>
  <c r="I11" i="3"/>
  <c r="D12" i="3" s="1"/>
  <c r="B18" i="3"/>
  <c r="C19" i="1"/>
  <c r="B20" i="1"/>
  <c r="C20" i="1" s="1"/>
  <c r="F11" i="1"/>
  <c r="H11" i="1" s="1"/>
  <c r="G12" i="1" s="1"/>
  <c r="H11" i="3" l="1"/>
  <c r="G12" i="3" s="1"/>
  <c r="J11" i="3"/>
  <c r="B19" i="3"/>
  <c r="I11" i="1"/>
  <c r="D12" i="1" s="1"/>
  <c r="B21" i="1"/>
  <c r="F12" i="3" l="1"/>
  <c r="I12" i="3"/>
  <c r="D13" i="3" s="1"/>
  <c r="B20" i="3"/>
  <c r="B22" i="1"/>
  <c r="C22" i="1" s="1"/>
  <c r="C21" i="1"/>
  <c r="F12" i="1"/>
  <c r="H12" i="1" s="1"/>
  <c r="G13" i="1" s="1"/>
  <c r="H12" i="3" l="1"/>
  <c r="G13" i="3" s="1"/>
  <c r="B23" i="1"/>
  <c r="J12" i="3"/>
  <c r="B21" i="3"/>
  <c r="I12" i="1"/>
  <c r="C23" i="1" l="1"/>
  <c r="I23" i="1"/>
  <c r="F13" i="3"/>
  <c r="I13" i="3"/>
  <c r="D14" i="3" s="1"/>
  <c r="B22" i="3"/>
  <c r="D13" i="1"/>
  <c r="F13" i="1" s="1"/>
  <c r="H13" i="1" s="1"/>
  <c r="G14" i="1" s="1"/>
  <c r="H13" i="3" l="1"/>
  <c r="G14" i="3" s="1"/>
  <c r="J13" i="3"/>
  <c r="B23" i="3"/>
  <c r="I13" i="1"/>
  <c r="F14" i="3" l="1"/>
  <c r="I14" i="3"/>
  <c r="D15" i="3" s="1"/>
  <c r="I23" i="3"/>
  <c r="J23" i="3"/>
  <c r="D14" i="1"/>
  <c r="H14" i="3" l="1"/>
  <c r="G15" i="3" s="1"/>
  <c r="F14" i="1"/>
  <c r="H14" i="1" s="1"/>
  <c r="G15" i="1" s="1"/>
  <c r="J14" i="3"/>
  <c r="I14" i="1"/>
  <c r="D15" i="1" s="1"/>
  <c r="F15" i="1" s="1"/>
  <c r="F15" i="3" l="1"/>
  <c r="I15" i="3"/>
  <c r="D16" i="3" s="1"/>
  <c r="H15" i="1"/>
  <c r="I15" i="1"/>
  <c r="D16" i="1" s="1"/>
  <c r="H15" i="3" l="1"/>
  <c r="G16" i="1"/>
  <c r="J15" i="3"/>
  <c r="F16" i="1"/>
  <c r="G16" i="3" l="1"/>
  <c r="H16" i="1"/>
  <c r="G17" i="1" s="1"/>
  <c r="F16" i="3"/>
  <c r="I16" i="3"/>
  <c r="D17" i="3" s="1"/>
  <c r="I16" i="1"/>
  <c r="H16" i="3" l="1"/>
  <c r="G17" i="3" s="1"/>
  <c r="J16" i="3"/>
  <c r="D17" i="1"/>
  <c r="F17" i="1" s="1"/>
  <c r="H17" i="1" s="1"/>
  <c r="F17" i="3" l="1"/>
  <c r="H17" i="3" s="1"/>
  <c r="G18" i="3" s="1"/>
  <c r="I17" i="3"/>
  <c r="D18" i="3" s="1"/>
  <c r="G18" i="1"/>
  <c r="I17" i="1"/>
  <c r="J17" i="3" l="1"/>
  <c r="D18" i="1"/>
  <c r="F18" i="1" s="1"/>
  <c r="H18" i="1" s="1"/>
  <c r="F18" i="3" l="1"/>
  <c r="H18" i="3" s="1"/>
  <c r="G19" i="3" s="1"/>
  <c r="I18" i="3"/>
  <c r="D19" i="3" s="1"/>
  <c r="G19" i="1"/>
  <c r="I18" i="1"/>
  <c r="D19" i="1" s="1"/>
  <c r="J18" i="3" l="1"/>
  <c r="F19" i="1"/>
  <c r="H19" i="1" s="1"/>
  <c r="F19" i="3" l="1"/>
  <c r="H19" i="3" s="1"/>
  <c r="G20" i="3" s="1"/>
  <c r="I19" i="3"/>
  <c r="D20" i="3" s="1"/>
  <c r="G20" i="1"/>
  <c r="I19" i="1"/>
  <c r="D20" i="1" s="1"/>
  <c r="J19" i="3" l="1"/>
  <c r="F20" i="1"/>
  <c r="H20" i="1" s="1"/>
  <c r="F20" i="3" l="1"/>
  <c r="H20" i="3" s="1"/>
  <c r="G21" i="3" s="1"/>
  <c r="I20" i="3"/>
  <c r="G21" i="1"/>
  <c r="I20" i="1"/>
  <c r="J20" i="3" l="1"/>
  <c r="D21" i="3"/>
  <c r="D21" i="1"/>
  <c r="F21" i="1" s="1"/>
  <c r="H21" i="1" s="1"/>
  <c r="F21" i="3" l="1"/>
  <c r="H21" i="3" s="1"/>
  <c r="G22" i="3" s="1"/>
  <c r="I21" i="3"/>
  <c r="G22" i="1"/>
  <c r="I21" i="1"/>
  <c r="D22" i="1" s="1"/>
  <c r="J21" i="3" l="1"/>
  <c r="D22" i="3"/>
  <c r="F22" i="1"/>
  <c r="H22" i="1" s="1"/>
  <c r="F22" i="3" l="1"/>
  <c r="H22" i="3" s="1"/>
  <c r="I22" i="3"/>
  <c r="G23" i="1"/>
  <c r="I22" i="1"/>
  <c r="D23" i="1" s="1"/>
  <c r="F23" i="1" s="1"/>
  <c r="H23" i="1" l="1"/>
  <c r="H24" i="1" s="1"/>
  <c r="G23" i="3"/>
  <c r="J22" i="3"/>
  <c r="D23" i="3"/>
  <c r="F23" i="3" s="1"/>
  <c r="H23" i="3" l="1"/>
  <c r="H2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<sst xmlns="http://schemas.openxmlformats.org/spreadsheetml/2006/main" count="85" uniqueCount="44">
  <si>
    <t>Delta</t>
  </si>
  <si>
    <t>sigma =</t>
  </si>
  <si>
    <t>N(d1)</t>
  </si>
  <si>
    <t>r =</t>
  </si>
  <si>
    <t>K =</t>
  </si>
  <si>
    <t>mu =</t>
  </si>
  <si>
    <t>Week</t>
  </si>
  <si>
    <t>Stock</t>
  </si>
  <si>
    <t>price</t>
  </si>
  <si>
    <t>Shares</t>
  </si>
  <si>
    <t>traded</t>
  </si>
  <si>
    <t>Weekly interests</t>
  </si>
  <si>
    <t>Inventory</t>
  </si>
  <si>
    <t>(K €)</t>
  </si>
  <si>
    <t>Cum. cost</t>
  </si>
  <si>
    <t>Share proceeds</t>
  </si>
  <si>
    <t>Exposure</t>
  </si>
  <si>
    <t>CUMULATIVE HEDGING COST</t>
  </si>
  <si>
    <t>call</t>
  </si>
  <si>
    <r>
      <t>Spot (S</t>
    </r>
    <r>
      <rPr>
        <b/>
        <vertAlign val="subscript"/>
        <sz val="10"/>
        <color indexed="9"/>
        <rFont val="Arial"/>
        <family val="2"/>
      </rPr>
      <t>0</t>
    </r>
    <r>
      <rPr>
        <b/>
        <sz val="10"/>
        <color indexed="9"/>
        <rFont val="Arial"/>
        <family val="2"/>
      </rPr>
      <t>)</t>
    </r>
  </si>
  <si>
    <t>Strike (K)</t>
  </si>
  <si>
    <t>Hedging performance</t>
  </si>
  <si>
    <t>Expiration (T)</t>
  </si>
  <si>
    <t>nbSteps</t>
  </si>
  <si>
    <t>risk-free rate (r)</t>
  </si>
  <si>
    <t>Trend (mu)</t>
  </si>
  <si>
    <t>Volatility (sigma)</t>
  </si>
  <si>
    <t>Dividend yeild (div)</t>
  </si>
  <si>
    <t>nbTrajs</t>
  </si>
  <si>
    <t>Black-Scholes price</t>
  </si>
  <si>
    <t>Option type (typOp)</t>
  </si>
  <si>
    <t>turnover (Nb of shares)</t>
  </si>
  <si>
    <t>max hedging cost (in €)</t>
  </si>
  <si>
    <t>min hedging cost (in €)</t>
  </si>
  <si>
    <t>Standard dev. of hedging cost (in €)</t>
  </si>
  <si>
    <t>Average hedging cost (in €)</t>
  </si>
  <si>
    <t>Probability of a gain of money with delta hedging</t>
  </si>
  <si>
    <t>Probability of a gain of money with Stop Loss hedging</t>
  </si>
  <si>
    <t>Delta Hedge &amp; Forget</t>
  </si>
  <si>
    <t>Dynamic Delta Hedge</t>
  </si>
  <si>
    <t>Stop Loss Hedge</t>
  </si>
  <si>
    <t>turnover (Nb of Shares)</t>
  </si>
  <si>
    <t>Tolerance (l)</t>
  </si>
  <si>
    <t>Strategies Comparison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</si>
</sst>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9" x14ac:knownFonts="1"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vertAlign val="subscript"/>
      <sz val="10"/>
      <color indexed="9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4" fontId="0" fillId="0" borderId="0" xfId="0" applyNumberFormat="1"/>
    <xf numFmtId="10" fontId="0" fillId="0" borderId="0" xfId="1" applyNumberFormat="1" applyFont="1"/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right"/>
    </xf>
    <xf numFmtId="0" fontId="1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10" fontId="1" fillId="0" borderId="0" xfId="1" applyNumberFormat="1"/>
    <xf numFmtId="0" fontId="2" fillId="0" borderId="0" xfId="0" applyFont="1" applyAlignment="1">
      <alignment horizontal="right"/>
    </xf>
    <xf numFmtId="166" fontId="0" fillId="0" borderId="0" xfId="0" applyNumberFormat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5" fontId="3" fillId="0" borderId="9" xfId="0" applyNumberFormat="1" applyFont="1" applyBorder="1" applyAlignment="1">
      <alignment horizontal="right"/>
    </xf>
    <xf numFmtId="0" fontId="3" fillId="0" borderId="0" xfId="0" applyFont="1"/>
    <xf numFmtId="0" fontId="4" fillId="2" borderId="0" xfId="0" applyFont="1" applyFill="1"/>
    <xf numFmtId="0" fontId="0" fillId="0" borderId="0" xfId="0" quotePrefix="1" applyAlignment="1">
      <alignment horizontal="left"/>
    </xf>
    <xf numFmtId="0" fontId="4" fillId="2" borderId="0" xfId="0" applyFont="1" applyFill="1" applyAlignment="1">
      <alignment horizontal="center" wrapText="1"/>
    </xf>
    <xf numFmtId="0" fontId="4" fillId="3" borderId="11" xfId="0" applyFont="1" applyFill="1" applyBorder="1"/>
    <xf numFmtId="0" fontId="4" fillId="3" borderId="0" xfId="0" applyFont="1" applyFill="1"/>
    <xf numFmtId="0" fontId="0" fillId="4" borderId="0" xfId="0" applyFill="1"/>
    <xf numFmtId="10" fontId="0" fillId="4" borderId="0" xfId="1" applyNumberFormat="1" applyFont="1" applyFill="1" applyBorder="1"/>
    <xf numFmtId="9" fontId="0" fillId="4" borderId="0" xfId="1" applyFont="1" applyFill="1" applyBorder="1"/>
    <xf numFmtId="49" fontId="4" fillId="2" borderId="0" xfId="0" applyNumberFormat="1" applyFont="1" applyFill="1" applyAlignment="1">
      <alignment horizontal="left"/>
    </xf>
    <xf numFmtId="0" fontId="0" fillId="5" borderId="10" xfId="0" applyFill="1" applyBorder="1"/>
    <xf numFmtId="1" fontId="0" fillId="5" borderId="13" xfId="0" applyNumberFormat="1" applyFill="1" applyBorder="1"/>
    <xf numFmtId="1" fontId="0" fillId="5" borderId="12" xfId="0" applyNumberFormat="1" applyFill="1" applyBorder="1"/>
    <xf numFmtId="1" fontId="0" fillId="5" borderId="14" xfId="0" applyNumberFormat="1" applyFill="1" applyBorder="1"/>
    <xf numFmtId="10" fontId="0" fillId="5" borderId="10" xfId="0" applyNumberFormat="1" applyFill="1" applyBorder="1"/>
    <xf numFmtId="0" fontId="7" fillId="6" borderId="10" xfId="0" applyFont="1" applyFill="1" applyBorder="1"/>
    <xf numFmtId="0" fontId="4" fillId="2" borderId="10" xfId="0" applyFont="1" applyFill="1" applyBorder="1" applyAlignment="1">
      <alignment horizontal="center" wrapText="1"/>
    </xf>
    <xf numFmtId="0" fontId="0" fillId="7" borderId="10" xfId="0" applyFill="1" applyBorder="1"/>
    <xf numFmtId="1" fontId="0" fillId="8" borderId="10" xfId="0" applyNumberFormat="1" applyFill="1" applyBorder="1"/>
    <xf numFmtId="0" fontId="0" fillId="8" borderId="10" xfId="0" applyFill="1" applyBorder="1"/>
    <xf numFmtId="167" fontId="0" fillId="4" borderId="0" xfId="1" applyNumberFormat="1" applyFont="1" applyFill="1" applyBorder="1"/>
    <xf numFmtId="1" fontId="0" fillId="5" borderId="10" xfId="0" applyNumberFormat="1" applyFill="1" applyBorder="1"/>
    <xf numFmtId="166" fontId="0" fillId="4" borderId="0" xfId="0" applyNumberFormat="1" applyFill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33390972372324"/>
          <c:y val="0.10569147648102643"/>
          <c:w val="0.56000145833713111"/>
          <c:h val="0.61382357494749962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ln w="3175" cap="flat">
                <a:solidFill>
                  <a:srgbClr val="FF00FF"/>
                </a:solidFill>
                <a:prstDash val="solid"/>
              </a:ln>
            </c:spPr>
          </c:marker>
          <c:cat>
            <c:numRef>
              <c:f>'Weekly delta hedging'!$A$3:$A$23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'Weekly delta hedging'!$B$3:$B$23</c:f>
              <c:numCache>
                <c:formatCode>0.00</c:formatCode>
                <c:ptCount val="21"/>
                <c:pt idx="0">
                  <c:v>49</c:v>
                </c:pt>
                <c:pt idx="1">
                  <c:v>49.862571935445011</c:v>
                </c:pt>
                <c:pt idx="2">
                  <c:v>47.602670252619639</c:v>
                </c:pt>
                <c:pt idx="3">
                  <c:v>45.247154679383449</c:v>
                </c:pt>
                <c:pt idx="4">
                  <c:v>47.221915714255942</c:v>
                </c:pt>
                <c:pt idx="5">
                  <c:v>45.97223888991055</c:v>
                </c:pt>
                <c:pt idx="6">
                  <c:v>44.534534303867943</c:v>
                </c:pt>
                <c:pt idx="7">
                  <c:v>43.136853409727934</c:v>
                </c:pt>
                <c:pt idx="8">
                  <c:v>43.584415517839624</c:v>
                </c:pt>
                <c:pt idx="9">
                  <c:v>44.945011166605909</c:v>
                </c:pt>
                <c:pt idx="10">
                  <c:v>45.293430086925561</c:v>
                </c:pt>
                <c:pt idx="11">
                  <c:v>45.350979905928391</c:v>
                </c:pt>
                <c:pt idx="12">
                  <c:v>46.068863841215546</c:v>
                </c:pt>
                <c:pt idx="13">
                  <c:v>47.523038232964893</c:v>
                </c:pt>
                <c:pt idx="14">
                  <c:v>49.097396830866359</c:v>
                </c:pt>
                <c:pt idx="15">
                  <c:v>47.639230449113043</c:v>
                </c:pt>
                <c:pt idx="16">
                  <c:v>46.386304446796281</c:v>
                </c:pt>
                <c:pt idx="17">
                  <c:v>48.600241281279501</c:v>
                </c:pt>
                <c:pt idx="18">
                  <c:v>48.492222216686081</c:v>
                </c:pt>
                <c:pt idx="19">
                  <c:v>49.911443585578212</c:v>
                </c:pt>
                <c:pt idx="20">
                  <c:v>52.539351300506333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B-4705-8351-C26D188B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023840"/>
        <c:axId val="1"/>
      </c:lineChart>
      <c:lineChart>
        <c:grouping val="standard"/>
        <c:varyColors val="0"/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'Weekly delta hedging'!$A$3:$A$23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'Weekly delta hedging'!$C$3:$C$23</c:f>
              <c:numCache>
                <c:formatCode>0.000</c:formatCode>
                <c:ptCount val="21"/>
                <c:pt idx="0">
                  <c:v>0.52160466106639636</c:v>
                </c:pt>
                <c:pt idx="1">
                  <c:v>0.57487447024620753</c:v>
                </c:pt>
                <c:pt idx="2">
                  <c:v>0.41619472117077067</c:v>
                </c:pt>
                <c:pt idx="3">
                  <c:v>0.25036765493210505</c:v>
                </c:pt>
                <c:pt idx="4">
                  <c:v>0.37405502205687391</c:v>
                </c:pt>
                <c:pt idx="5">
                  <c:v>0.27629606191509259</c:v>
                </c:pt>
                <c:pt idx="6">
                  <c:v>0.1751863683826651</c:v>
                </c:pt>
                <c:pt idx="7">
                  <c:v>9.6551710575234137E-2</c:v>
                </c:pt>
                <c:pt idx="8">
                  <c:v>0.10362338842313305</c:v>
                </c:pt>
                <c:pt idx="9">
                  <c:v>0.15921112739458945</c:v>
                </c:pt>
                <c:pt idx="10">
                  <c:v>0.16510180488947013</c:v>
                </c:pt>
                <c:pt idx="11">
                  <c:v>0.15214156270407997</c:v>
                </c:pt>
                <c:pt idx="12">
                  <c:v>0.18231962566031695</c:v>
                </c:pt>
                <c:pt idx="13">
                  <c:v>0.28638154444214431</c:v>
                </c:pt>
                <c:pt idx="14">
                  <c:v>0.44067513020568694</c:v>
                </c:pt>
                <c:pt idx="15">
                  <c:v>0.25099732726010537</c:v>
                </c:pt>
                <c:pt idx="16">
                  <c:v>0.10467636289975712</c:v>
                </c:pt>
                <c:pt idx="17">
                  <c:v>0.30607334759188021</c:v>
                </c:pt>
                <c:pt idx="18">
                  <c:v>0.23822969090941645</c:v>
                </c:pt>
                <c:pt idx="19">
                  <c:v>0.4938647930404374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2B-4705-8351-C26D188B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46002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week</a:t>
                </a:r>
              </a:p>
            </c:rich>
          </c:tx>
          <c:layout>
            <c:manualLayout>
              <c:xMode val="edge"/>
              <c:yMode val="edge"/>
              <c:x val="0.45658771268662701"/>
              <c:y val="0.84076983848150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stock price (pink)</a:t>
                </a:r>
              </a:p>
            </c:rich>
          </c:tx>
          <c:layout>
            <c:manualLayout>
              <c:xMode val="edge"/>
              <c:yMode val="edge"/>
              <c:x val="5.7279856311240128E-2"/>
              <c:y val="0.18436063578528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0023840"/>
        <c:crossesAt val="0"/>
        <c:crossBetween val="midCat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delta (blue)</a:t>
                </a:r>
              </a:p>
            </c:rich>
          </c:tx>
          <c:layout>
            <c:manualLayout>
              <c:xMode val="edge"/>
              <c:yMode val="edge"/>
              <c:x val="0.8974378711825991"/>
              <c:y val="0.29287765546394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pattFill prst="dkHorz">
          <a:fgClr>
            <a:schemeClr val="bg2"/>
          </a:fgClr>
          <a:bgClr>
            <a:schemeClr val="bg1"/>
          </a:bgClr>
        </a:patt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33390972372324"/>
          <c:y val="0.10569147648102643"/>
          <c:w val="0.56000145833713111"/>
          <c:h val="0.61382357494749962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ln w="3175" cap="flat">
                <a:solidFill>
                  <a:srgbClr val="FF00FF"/>
                </a:solidFill>
                <a:prstDash val="solid"/>
              </a:ln>
            </c:spPr>
          </c:marker>
          <c:cat>
            <c:numRef>
              <c:f>'Weekly delta hedging'!$A$3:$A$23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'Weekly stop-loss'!$B$3:$B$23</c:f>
              <c:numCache>
                <c:formatCode>0.00</c:formatCode>
                <c:ptCount val="21"/>
                <c:pt idx="0">
                  <c:v>49</c:v>
                </c:pt>
                <c:pt idx="1">
                  <c:v>49.066851261837918</c:v>
                </c:pt>
                <c:pt idx="2">
                  <c:v>47.672503677404016</c:v>
                </c:pt>
                <c:pt idx="3">
                  <c:v>48.725638583536586</c:v>
                </c:pt>
                <c:pt idx="4">
                  <c:v>49.699571712828906</c:v>
                </c:pt>
                <c:pt idx="5">
                  <c:v>50.21930524975474</c:v>
                </c:pt>
                <c:pt idx="6">
                  <c:v>47.44532197483754</c:v>
                </c:pt>
                <c:pt idx="7">
                  <c:v>47.466926229229784</c:v>
                </c:pt>
                <c:pt idx="8">
                  <c:v>46.016661002426467</c:v>
                </c:pt>
                <c:pt idx="9">
                  <c:v>44.581186914971759</c:v>
                </c:pt>
                <c:pt idx="10">
                  <c:v>44.792207792938783</c:v>
                </c:pt>
                <c:pt idx="11">
                  <c:v>45.136483341711539</c:v>
                </c:pt>
                <c:pt idx="12">
                  <c:v>44.612577309889069</c:v>
                </c:pt>
                <c:pt idx="13">
                  <c:v>46.200282128657321</c:v>
                </c:pt>
                <c:pt idx="14">
                  <c:v>45.612286894776794</c:v>
                </c:pt>
                <c:pt idx="15">
                  <c:v>45.943720173262875</c:v>
                </c:pt>
                <c:pt idx="16">
                  <c:v>45.481776156570412</c:v>
                </c:pt>
                <c:pt idx="17">
                  <c:v>46.650591256837266</c:v>
                </c:pt>
                <c:pt idx="18">
                  <c:v>44.727535588676155</c:v>
                </c:pt>
                <c:pt idx="19">
                  <c:v>43.804588678797323</c:v>
                </c:pt>
                <c:pt idx="20">
                  <c:v>42.373361653934737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0-4F51-A3C5-3F02184DB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023840"/>
        <c:axId val="1"/>
      </c:lineChart>
      <c:lineChart>
        <c:grouping val="standard"/>
        <c:varyColors val="0"/>
        <c:ser>
          <c:idx val="0"/>
          <c:order val="1"/>
          <c:spPr>
            <a:ln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'Weekly delta hedging'!$A$3:$A$23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'Weekly stop-loss'!$J$3:$J$23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B0-4F51-A3C5-3F02184DB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46002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week</a:t>
                </a:r>
              </a:p>
            </c:rich>
          </c:tx>
          <c:layout>
            <c:manualLayout>
              <c:xMode val="edge"/>
              <c:yMode val="edge"/>
              <c:x val="0.45658771268662701"/>
              <c:y val="0.84076983848150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stock price (pink)</a:t>
                </a:r>
              </a:p>
            </c:rich>
          </c:tx>
          <c:layout>
            <c:manualLayout>
              <c:xMode val="edge"/>
              <c:yMode val="edge"/>
              <c:x val="5.7279856311240128E-2"/>
              <c:y val="0.18436063578528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0023840"/>
        <c:crossesAt val="0"/>
        <c:crossBetween val="midCat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exposure (blue)</a:t>
                </a:r>
              </a:p>
            </c:rich>
          </c:tx>
          <c:layout>
            <c:manualLayout>
              <c:xMode val="edge"/>
              <c:yMode val="edge"/>
              <c:x val="0.8974378711825991"/>
              <c:y val="0.29287765546394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  <c:majorUnit val="1"/>
      </c:valAx>
      <c:spPr>
        <a:pattFill prst="dkHorz">
          <a:fgClr>
            <a:schemeClr val="bg2"/>
          </a:fgClr>
          <a:bgClr>
            <a:schemeClr val="bg1"/>
          </a:bgClr>
        </a:patt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Distribution of Cumulative Hedging Costs for Delta Hedging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Distribution of Cumulative Hedging Costs</c:v>
          </c:tx>
          <c:invertIfNegative val="0"/>
          <c:cat>
            <c:numLit>
              <c:formatCode>General</c:formatCode>
              <c:ptCount val="50"/>
              <c:pt idx="0">
                <c:v>-141988.29398145739</c:v>
              </c:pt>
              <c:pt idx="1">
                <c:v>-138920.00874004036</c:v>
              </c:pt>
              <c:pt idx="2">
                <c:v>-135851.72349862332</c:v>
              </c:pt>
              <c:pt idx="3">
                <c:v>-132783.43825720626</c:v>
              </c:pt>
              <c:pt idx="4">
                <c:v>-129715.15301578921</c:v>
              </c:pt>
              <c:pt idx="5">
                <c:v>-126646.86777437218</c:v>
              </c:pt>
              <c:pt idx="6">
                <c:v>-123578.58253295513</c:v>
              </c:pt>
              <c:pt idx="7">
                <c:v>-120510.29729153808</c:v>
              </c:pt>
              <c:pt idx="8">
                <c:v>-117442.01205012103</c:v>
              </c:pt>
              <c:pt idx="9">
                <c:v>-114373.726808704</c:v>
              </c:pt>
              <c:pt idx="10">
                <c:v>-111305.44156728695</c:v>
              </c:pt>
              <c:pt idx="11">
                <c:v>-108237.1563258699</c:v>
              </c:pt>
              <c:pt idx="12">
                <c:v>-105168.87108445285</c:v>
              </c:pt>
              <c:pt idx="13">
                <c:v>-102100.58584303581</c:v>
              </c:pt>
              <c:pt idx="14">
                <c:v>-99032.300601618772</c:v>
              </c:pt>
              <c:pt idx="15">
                <c:v>-95964.015360201724</c:v>
              </c:pt>
              <c:pt idx="16">
                <c:v>-92895.730118784675</c:v>
              </c:pt>
              <c:pt idx="17">
                <c:v>-89827.444877367627</c:v>
              </c:pt>
              <c:pt idx="18">
                <c:v>-86759.159635950593</c:v>
              </c:pt>
              <c:pt idx="19">
                <c:v>-83690.874394533545</c:v>
              </c:pt>
              <c:pt idx="20">
                <c:v>-80622.589153116496</c:v>
              </c:pt>
              <c:pt idx="21">
                <c:v>-77554.303911699448</c:v>
              </c:pt>
              <c:pt idx="22">
                <c:v>-74486.018670282399</c:v>
              </c:pt>
              <c:pt idx="23">
                <c:v>-71417.733428865366</c:v>
              </c:pt>
              <c:pt idx="24">
                <c:v>-68349.448187448317</c:v>
              </c:pt>
              <c:pt idx="25">
                <c:v>-65281.162946031269</c:v>
              </c:pt>
              <c:pt idx="26">
                <c:v>-62212.877704614228</c:v>
              </c:pt>
              <c:pt idx="27">
                <c:v>-59144.592463197179</c:v>
              </c:pt>
              <c:pt idx="28">
                <c:v>-56076.307221780131</c:v>
              </c:pt>
              <c:pt idx="29">
                <c:v>-53008.02198036309</c:v>
              </c:pt>
              <c:pt idx="30">
                <c:v>-49939.736738946041</c:v>
              </c:pt>
              <c:pt idx="31">
                <c:v>-46871.451497529</c:v>
              </c:pt>
              <c:pt idx="32">
                <c:v>-43803.166256111952</c:v>
              </c:pt>
              <c:pt idx="33">
                <c:v>-40734.881014694911</c:v>
              </c:pt>
              <c:pt idx="34">
                <c:v>-37666.595773277862</c:v>
              </c:pt>
              <c:pt idx="35">
                <c:v>-34598.310531860821</c:v>
              </c:pt>
              <c:pt idx="36">
                <c:v>-31530.025290443773</c:v>
              </c:pt>
              <c:pt idx="37">
                <c:v>-28461.740049026728</c:v>
              </c:pt>
              <c:pt idx="38">
                <c:v>-25393.454807609683</c:v>
              </c:pt>
              <c:pt idx="39">
                <c:v>-22325.169566192639</c:v>
              </c:pt>
              <c:pt idx="40">
                <c:v>-19256.88432477559</c:v>
              </c:pt>
              <c:pt idx="41">
                <c:v>-16188.599083358547</c:v>
              </c:pt>
              <c:pt idx="42">
                <c:v>-13120.313841941501</c:v>
              </c:pt>
              <c:pt idx="43">
                <c:v>-10052.028600524456</c:v>
              </c:pt>
              <c:pt idx="44">
                <c:v>-6983.7433591074114</c:v>
              </c:pt>
              <c:pt idx="45">
                <c:v>-3915.4581176903657</c:v>
              </c:pt>
              <c:pt idx="46">
                <c:v>-847.17287627332075</c:v>
              </c:pt>
              <c:pt idx="47">
                <c:v>2221.1123651437247</c:v>
              </c:pt>
              <c:pt idx="48">
                <c:v>5289.3976065607694</c:v>
              </c:pt>
              <c:pt idx="49">
                <c:v>8357.6828479778142</c:v>
              </c:pt>
            </c:numLit>
          </c:cat>
          <c:val>
            <c:numLit>
              <c:formatCode>General</c:formatCode>
              <c:ptCount val="50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1</c:v>
              </c:pt>
              <c:pt idx="11">
                <c:v>1</c:v>
              </c:pt>
              <c:pt idx="12">
                <c:v>4</c:v>
              </c:pt>
              <c:pt idx="13">
                <c:v>6</c:v>
              </c:pt>
              <c:pt idx="14">
                <c:v>8</c:v>
              </c:pt>
              <c:pt idx="15">
                <c:v>5</c:v>
              </c:pt>
              <c:pt idx="16">
                <c:v>5</c:v>
              </c:pt>
              <c:pt idx="17">
                <c:v>12</c:v>
              </c:pt>
              <c:pt idx="18">
                <c:v>14</c:v>
              </c:pt>
              <c:pt idx="19">
                <c:v>30</c:v>
              </c:pt>
              <c:pt idx="20">
                <c:v>26</c:v>
              </c:pt>
              <c:pt idx="21">
                <c:v>44</c:v>
              </c:pt>
              <c:pt idx="22">
                <c:v>57</c:v>
              </c:pt>
              <c:pt idx="23">
                <c:v>51</c:v>
              </c:pt>
              <c:pt idx="24">
                <c:v>71</c:v>
              </c:pt>
              <c:pt idx="25">
                <c:v>83</c:v>
              </c:pt>
              <c:pt idx="26">
                <c:v>62</c:v>
              </c:pt>
              <c:pt idx="27">
                <c:v>86</c:v>
              </c:pt>
              <c:pt idx="28">
                <c:v>87</c:v>
              </c:pt>
              <c:pt idx="29">
                <c:v>69</c:v>
              </c:pt>
              <c:pt idx="30">
                <c:v>52</c:v>
              </c:pt>
              <c:pt idx="31">
                <c:v>46</c:v>
              </c:pt>
              <c:pt idx="32">
                <c:v>40</c:v>
              </c:pt>
              <c:pt idx="33">
                <c:v>31</c:v>
              </c:pt>
              <c:pt idx="34">
                <c:v>18</c:v>
              </c:pt>
              <c:pt idx="35">
                <c:v>24</c:v>
              </c:pt>
              <c:pt idx="36">
                <c:v>15</c:v>
              </c:pt>
              <c:pt idx="37">
                <c:v>6</c:v>
              </c:pt>
              <c:pt idx="38">
                <c:v>12</c:v>
              </c:pt>
              <c:pt idx="39">
                <c:v>5</c:v>
              </c:pt>
              <c:pt idx="40">
                <c:v>9</c:v>
              </c:pt>
              <c:pt idx="41">
                <c:v>4</c:v>
              </c:pt>
              <c:pt idx="42">
                <c:v>5</c:v>
              </c:pt>
              <c:pt idx="43">
                <c:v>3</c:v>
              </c:pt>
              <c:pt idx="44">
                <c:v>0</c:v>
              </c:pt>
              <c:pt idx="45">
                <c:v>1</c:v>
              </c:pt>
              <c:pt idx="46">
                <c:v>2</c:v>
              </c:pt>
              <c:pt idx="47">
                <c:v>1</c:v>
              </c:pt>
              <c:pt idx="48">
                <c:v>0</c:v>
              </c:pt>
              <c:pt idx="4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A424-C84C-B22A-4B4CEADA6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368592"/>
        <c:axId val="767963744"/>
      </c:barChart>
      <c:lineChart>
        <c:grouping val="standard"/>
        <c:varyColors val="0"/>
        <c:ser>
          <c:idx val="1"/>
          <c:order val="1"/>
          <c:tx>
            <c:v>Normal Distribution (-60011, 17790)</c:v>
          </c:tx>
          <c:marker>
            <c:symbol val="none"/>
          </c:marker>
          <c:cat>
            <c:numLit>
              <c:formatCode>General</c:formatCode>
              <c:ptCount val="50"/>
              <c:pt idx="0">
                <c:v>-141988.29398145739</c:v>
              </c:pt>
              <c:pt idx="1">
                <c:v>-138920.00874004036</c:v>
              </c:pt>
              <c:pt idx="2">
                <c:v>-135851.72349862332</c:v>
              </c:pt>
              <c:pt idx="3">
                <c:v>-132783.43825720626</c:v>
              </c:pt>
              <c:pt idx="4">
                <c:v>-129715.15301578921</c:v>
              </c:pt>
              <c:pt idx="5">
                <c:v>-126646.86777437218</c:v>
              </c:pt>
              <c:pt idx="6">
                <c:v>-123578.58253295513</c:v>
              </c:pt>
              <c:pt idx="7">
                <c:v>-120510.29729153808</c:v>
              </c:pt>
              <c:pt idx="8">
                <c:v>-117442.01205012103</c:v>
              </c:pt>
              <c:pt idx="9">
                <c:v>-114373.726808704</c:v>
              </c:pt>
              <c:pt idx="10">
                <c:v>-111305.44156728695</c:v>
              </c:pt>
              <c:pt idx="11">
                <c:v>-108237.1563258699</c:v>
              </c:pt>
              <c:pt idx="12">
                <c:v>-105168.87108445285</c:v>
              </c:pt>
              <c:pt idx="13">
                <c:v>-102100.58584303581</c:v>
              </c:pt>
              <c:pt idx="14">
                <c:v>-99032.300601618772</c:v>
              </c:pt>
              <c:pt idx="15">
                <c:v>-95964.015360201724</c:v>
              </c:pt>
              <c:pt idx="16">
                <c:v>-92895.730118784675</c:v>
              </c:pt>
              <c:pt idx="17">
                <c:v>-89827.444877367627</c:v>
              </c:pt>
              <c:pt idx="18">
                <c:v>-86759.159635950593</c:v>
              </c:pt>
              <c:pt idx="19">
                <c:v>-83690.874394533545</c:v>
              </c:pt>
              <c:pt idx="20">
                <c:v>-80622.589153116496</c:v>
              </c:pt>
              <c:pt idx="21">
                <c:v>-77554.303911699448</c:v>
              </c:pt>
              <c:pt idx="22">
                <c:v>-74486.018670282399</c:v>
              </c:pt>
              <c:pt idx="23">
                <c:v>-71417.733428865366</c:v>
              </c:pt>
              <c:pt idx="24">
                <c:v>-68349.448187448317</c:v>
              </c:pt>
              <c:pt idx="25">
                <c:v>-65281.162946031269</c:v>
              </c:pt>
              <c:pt idx="26">
                <c:v>-62212.877704614228</c:v>
              </c:pt>
              <c:pt idx="27">
                <c:v>-59144.592463197179</c:v>
              </c:pt>
              <c:pt idx="28">
                <c:v>-56076.307221780131</c:v>
              </c:pt>
              <c:pt idx="29">
                <c:v>-53008.02198036309</c:v>
              </c:pt>
              <c:pt idx="30">
                <c:v>-49939.736738946041</c:v>
              </c:pt>
              <c:pt idx="31">
                <c:v>-46871.451497529</c:v>
              </c:pt>
              <c:pt idx="32">
                <c:v>-43803.166256111952</c:v>
              </c:pt>
              <c:pt idx="33">
                <c:v>-40734.881014694911</c:v>
              </c:pt>
              <c:pt idx="34">
                <c:v>-37666.595773277862</c:v>
              </c:pt>
              <c:pt idx="35">
                <c:v>-34598.310531860821</c:v>
              </c:pt>
              <c:pt idx="36">
                <c:v>-31530.025290443773</c:v>
              </c:pt>
              <c:pt idx="37">
                <c:v>-28461.740049026728</c:v>
              </c:pt>
              <c:pt idx="38">
                <c:v>-25393.454807609683</c:v>
              </c:pt>
              <c:pt idx="39">
                <c:v>-22325.169566192639</c:v>
              </c:pt>
              <c:pt idx="40">
                <c:v>-19256.88432477559</c:v>
              </c:pt>
              <c:pt idx="41">
                <c:v>-16188.599083358547</c:v>
              </c:pt>
              <c:pt idx="42">
                <c:v>-13120.313841941501</c:v>
              </c:pt>
              <c:pt idx="43">
                <c:v>-10052.028600524456</c:v>
              </c:pt>
              <c:pt idx="44">
                <c:v>-6983.7433591074114</c:v>
              </c:pt>
              <c:pt idx="45">
                <c:v>-3915.4581176903657</c:v>
              </c:pt>
              <c:pt idx="46">
                <c:v>-847.17287627332075</c:v>
              </c:pt>
              <c:pt idx="47">
                <c:v>2221.1123651437247</c:v>
              </c:pt>
              <c:pt idx="48">
                <c:v>5289.3976065607694</c:v>
              </c:pt>
              <c:pt idx="49">
                <c:v>8357.6828479778142</c:v>
              </c:pt>
            </c:numLit>
          </c:cat>
          <c:val>
            <c:numLit>
              <c:formatCode>General</c:formatCode>
              <c:ptCount val="50"/>
              <c:pt idx="0">
                <c:v>1.6852672710683974E-3</c:v>
              </c:pt>
              <c:pt idx="1">
                <c:v>3.6759532130363165E-3</c:v>
              </c:pt>
              <c:pt idx="2">
                <c:v>7.7830961804443415E-3</c:v>
              </c:pt>
              <c:pt idx="3">
                <c:v>1.599617155610859E-2</c:v>
              </c:pt>
              <c:pt idx="4">
                <c:v>3.1912508449626752E-2</c:v>
              </c:pt>
              <c:pt idx="5">
                <c:v>6.1799799498195834E-2</c:v>
              </c:pt>
              <c:pt idx="6">
                <c:v>0.11617011600630103</c:v>
              </c:pt>
              <c:pt idx="7">
                <c:v>0.21197420429434402</c:v>
              </c:pt>
              <c:pt idx="8">
                <c:v>0.37545063054434452</c:v>
              </c:pt>
              <c:pt idx="9">
                <c:v>0.64551136963755551</c:v>
              </c:pt>
              <c:pt idx="10">
                <c:v>1.0772988290156367</c:v>
              </c:pt>
              <c:pt idx="11">
                <c:v>1.745218118892379</c:v>
              </c:pt>
              <c:pt idx="12">
                <c:v>2.7443814319159348</c:v>
              </c:pt>
              <c:pt idx="13">
                <c:v>4.1890974664799678</c:v>
              </c:pt>
              <c:pt idx="14">
                <c:v>6.2069420623440203</c:v>
              </c:pt>
              <c:pt idx="15">
                <c:v>8.9272182359077874</c:v>
              </c:pt>
              <c:pt idx="16">
                <c:v>12.463380258544854</c:v>
              </c:pt>
              <c:pt idx="17">
                <c:v>16.890277041854155</c:v>
              </c:pt>
              <c:pt idx="18">
                <c:v>22.218714798741811</c:v>
              </c:pt>
              <c:pt idx="19">
                <c:v>28.371502073760606</c:v>
              </c:pt>
              <c:pt idx="20">
                <c:v>35.16632276876333</c:v>
              </c:pt>
              <c:pt idx="21">
                <c:v>42.310954249247885</c:v>
              </c:pt>
              <c:pt idx="22">
                <c:v>49.415127035809896</c:v>
              </c:pt>
              <c:pt idx="23">
                <c:v>56.020663193892112</c:v>
              </c:pt>
              <c:pt idx="24">
                <c:v>61.647832153290771</c:v>
              </c:pt>
              <c:pt idx="25">
                <c:v>65.851944924046606</c:v>
              </c:pt>
              <c:pt idx="26">
                <c:v>68.281120141282372</c:v>
              </c:pt>
              <c:pt idx="27">
                <c:v>68.724865959579873</c:v>
              </c:pt>
              <c:pt idx="28">
                <c:v>67.144183901486386</c:v>
              </c:pt>
              <c:pt idx="29">
                <c:v>63.677225360616532</c:v>
              </c:pt>
              <c:pt idx="30">
                <c:v>58.619363289355135</c:v>
              </c:pt>
              <c:pt idx="31">
                <c:v>52.381664680018474</c:v>
              </c:pt>
              <c:pt idx="32">
                <c:v>45.435857520055578</c:v>
              </c:pt>
              <c:pt idx="33">
                <c:v>38.255985623465286</c:v>
              </c:pt>
              <c:pt idx="34">
                <c:v>31.266645944322516</c:v>
              </c:pt>
              <c:pt idx="35">
                <c:v>24.805296911842113</c:v>
              </c:pt>
              <c:pt idx="36">
                <c:v>19.102437939719461</c:v>
              </c:pt>
              <c:pt idx="37">
                <c:v>14.279545964651691</c:v>
              </c:pt>
              <c:pt idx="38">
                <c:v>10.361466656480484</c:v>
              </c:pt>
              <c:pt idx="39">
                <c:v>7.2980914735927609</c:v>
              </c:pt>
              <c:pt idx="40">
                <c:v>4.9897479092597781</c:v>
              </c:pt>
              <c:pt idx="41">
                <c:v>3.3115334096698907</c:v>
              </c:pt>
              <c:pt idx="42">
                <c:v>2.1333440982162792</c:v>
              </c:pt>
              <c:pt idx="43">
                <c:v>1.3340555507188194</c:v>
              </c:pt>
              <c:pt idx="44">
                <c:v>0.80978206039334377</c:v>
              </c:pt>
              <c:pt idx="45">
                <c:v>0.47713757852696848</c:v>
              </c:pt>
              <c:pt idx="46">
                <c:v>0.27289798357991407</c:v>
              </c:pt>
              <c:pt idx="47">
                <c:v>0.15150894180739391</c:v>
              </c:pt>
              <c:pt idx="48">
                <c:v>8.1650234589565648E-2</c:v>
              </c:pt>
              <c:pt idx="49">
                <c:v>4.2712780358969936E-2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424-C84C-B22A-4B4CEADA6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68592"/>
        <c:axId val="767963744"/>
      </c:lineChart>
      <c:catAx>
        <c:axId val="72136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Hedging Costs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67963744"/>
        <c:crosses val="autoZero"/>
        <c:auto val="1"/>
        <c:lblAlgn val="ctr"/>
        <c:lblOffset val="100"/>
        <c:noMultiLvlLbl val="0"/>
      </c:catAx>
      <c:valAx>
        <c:axId val="767963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1368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Distribution of Cumulative Hedging Costs for Stop Loss Hedging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Distribution of Cumulative Hedging Costs</c:v>
          </c:tx>
          <c:invertIfNegative val="0"/>
          <c:cat>
            <c:numLit>
              <c:formatCode>General</c:formatCode>
              <c:ptCount val="50"/>
              <c:pt idx="0">
                <c:v>-295699.28103409399</c:v>
              </c:pt>
              <c:pt idx="1">
                <c:v>-275448.4741304192</c:v>
              </c:pt>
              <c:pt idx="2">
                <c:v>-255197.66722674438</c:v>
              </c:pt>
              <c:pt idx="3">
                <c:v>-234946.86032306956</c:v>
              </c:pt>
              <c:pt idx="4">
                <c:v>-214696.05341939474</c:v>
              </c:pt>
              <c:pt idx="5">
                <c:v>-194445.24651571992</c:v>
              </c:pt>
              <c:pt idx="6">
                <c:v>-174194.4396120451</c:v>
              </c:pt>
              <c:pt idx="7">
                <c:v>-153943.63270837028</c:v>
              </c:pt>
              <c:pt idx="8">
                <c:v>-133692.82580469549</c:v>
              </c:pt>
              <c:pt idx="9">
                <c:v>-113442.01890102065</c:v>
              </c:pt>
              <c:pt idx="10">
                <c:v>-93191.211997345847</c:v>
              </c:pt>
              <c:pt idx="11">
                <c:v>-72940.405093671026</c:v>
              </c:pt>
              <c:pt idx="12">
                <c:v>-52689.598189996206</c:v>
              </c:pt>
              <c:pt idx="13">
                <c:v>-32438.791286321393</c:v>
              </c:pt>
              <c:pt idx="14">
                <c:v>-12187.984382646575</c:v>
              </c:pt>
              <c:pt idx="15">
                <c:v>8062.8225210282417</c:v>
              </c:pt>
              <c:pt idx="16">
                <c:v>28313.62942470306</c:v>
              </c:pt>
              <c:pt idx="17">
                <c:v>48564.436328377873</c:v>
              </c:pt>
              <c:pt idx="18">
                <c:v>68815.243232052686</c:v>
              </c:pt>
              <c:pt idx="19">
                <c:v>89066.050135727506</c:v>
              </c:pt>
              <c:pt idx="20">
                <c:v>109316.85703940233</c:v>
              </c:pt>
              <c:pt idx="21">
                <c:v>129567.66394307715</c:v>
              </c:pt>
              <c:pt idx="22">
                <c:v>149818.47084675197</c:v>
              </c:pt>
              <c:pt idx="23">
                <c:v>170069.27775042679</c:v>
              </c:pt>
              <c:pt idx="24">
                <c:v>190320.08465410158</c:v>
              </c:pt>
              <c:pt idx="25">
                <c:v>210570.8915577764</c:v>
              </c:pt>
              <c:pt idx="26">
                <c:v>230821.69846145122</c:v>
              </c:pt>
              <c:pt idx="27">
                <c:v>251072.50536512604</c:v>
              </c:pt>
              <c:pt idx="28">
                <c:v>271323.31226880086</c:v>
              </c:pt>
              <c:pt idx="29">
                <c:v>291574.11917247565</c:v>
              </c:pt>
              <c:pt idx="30">
                <c:v>311824.9260761505</c:v>
              </c:pt>
              <c:pt idx="31">
                <c:v>332075.73297982529</c:v>
              </c:pt>
              <c:pt idx="32">
                <c:v>352326.53988350014</c:v>
              </c:pt>
              <c:pt idx="33">
                <c:v>372577.34678717493</c:v>
              </c:pt>
              <c:pt idx="34">
                <c:v>392828.15369084978</c:v>
              </c:pt>
              <c:pt idx="35">
                <c:v>413078.96059452457</c:v>
              </c:pt>
              <c:pt idx="36">
                <c:v>433329.76749819936</c:v>
              </c:pt>
              <c:pt idx="37">
                <c:v>453580.57440187421</c:v>
              </c:pt>
              <c:pt idx="38">
                <c:v>473831.381305549</c:v>
              </c:pt>
              <c:pt idx="39">
                <c:v>494082.18820922385</c:v>
              </c:pt>
              <c:pt idx="40">
                <c:v>514332.99511289864</c:v>
              </c:pt>
              <c:pt idx="41">
                <c:v>534583.80201657349</c:v>
              </c:pt>
              <c:pt idx="42">
                <c:v>554834.60892024834</c:v>
              </c:pt>
              <c:pt idx="43">
                <c:v>575085.41582392307</c:v>
              </c:pt>
              <c:pt idx="44">
                <c:v>595336.22272759792</c:v>
              </c:pt>
              <c:pt idx="45">
                <c:v>615587.02963127277</c:v>
              </c:pt>
              <c:pt idx="46">
                <c:v>635837.83653494751</c:v>
              </c:pt>
              <c:pt idx="47">
                <c:v>656088.64343862236</c:v>
              </c:pt>
              <c:pt idx="48">
                <c:v>676339.4503422972</c:v>
              </c:pt>
              <c:pt idx="49">
                <c:v>696590.25724597205</c:v>
              </c:pt>
            </c:numLit>
          </c:cat>
          <c:val>
            <c:numLit>
              <c:formatCode>General</c:formatCode>
              <c:ptCount val="50"/>
              <c:pt idx="0">
                <c:v>151</c:v>
              </c:pt>
              <c:pt idx="1">
                <c:v>0</c:v>
              </c:pt>
              <c:pt idx="2">
                <c:v>2</c:v>
              </c:pt>
              <c:pt idx="3">
                <c:v>11</c:v>
              </c:pt>
              <c:pt idx="4">
                <c:v>7</c:v>
              </c:pt>
              <c:pt idx="5">
                <c:v>22</c:v>
              </c:pt>
              <c:pt idx="6">
                <c:v>48</c:v>
              </c:pt>
              <c:pt idx="7">
                <c:v>98</c:v>
              </c:pt>
              <c:pt idx="8">
                <c:v>70</c:v>
              </c:pt>
              <c:pt idx="9">
                <c:v>55</c:v>
              </c:pt>
              <c:pt idx="10">
                <c:v>45</c:v>
              </c:pt>
              <c:pt idx="11">
                <c:v>28</c:v>
              </c:pt>
              <c:pt idx="12">
                <c:v>32</c:v>
              </c:pt>
              <c:pt idx="13">
                <c:v>35</c:v>
              </c:pt>
              <c:pt idx="14">
                <c:v>47</c:v>
              </c:pt>
              <c:pt idx="15">
                <c:v>33</c:v>
              </c:pt>
              <c:pt idx="16">
                <c:v>17</c:v>
              </c:pt>
              <c:pt idx="17">
                <c:v>28</c:v>
              </c:pt>
              <c:pt idx="18">
                <c:v>23</c:v>
              </c:pt>
              <c:pt idx="19">
                <c:v>31</c:v>
              </c:pt>
              <c:pt idx="20">
                <c:v>21</c:v>
              </c:pt>
              <c:pt idx="21">
                <c:v>12</c:v>
              </c:pt>
              <c:pt idx="22">
                <c:v>20</c:v>
              </c:pt>
              <c:pt idx="23">
                <c:v>18</c:v>
              </c:pt>
              <c:pt idx="24">
                <c:v>15</c:v>
              </c:pt>
              <c:pt idx="25">
                <c:v>9</c:v>
              </c:pt>
              <c:pt idx="26">
                <c:v>21</c:v>
              </c:pt>
              <c:pt idx="27">
                <c:v>24</c:v>
              </c:pt>
              <c:pt idx="28">
                <c:v>6</c:v>
              </c:pt>
              <c:pt idx="29">
                <c:v>8</c:v>
              </c:pt>
              <c:pt idx="30">
                <c:v>16</c:v>
              </c:pt>
              <c:pt idx="31">
                <c:v>10</c:v>
              </c:pt>
              <c:pt idx="32">
                <c:v>5</c:v>
              </c:pt>
              <c:pt idx="33">
                <c:v>7</c:v>
              </c:pt>
              <c:pt idx="34">
                <c:v>5</c:v>
              </c:pt>
              <c:pt idx="35">
                <c:v>2</c:v>
              </c:pt>
              <c:pt idx="36">
                <c:v>3</c:v>
              </c:pt>
              <c:pt idx="37">
                <c:v>4</c:v>
              </c:pt>
              <c:pt idx="38">
                <c:v>2</c:v>
              </c:pt>
              <c:pt idx="39">
                <c:v>2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2</c:v>
              </c:pt>
              <c:pt idx="45">
                <c:v>1</c:v>
              </c:pt>
              <c:pt idx="46">
                <c:v>3</c:v>
              </c:pt>
              <c:pt idx="47">
                <c:v>0</c:v>
              </c:pt>
              <c:pt idx="48">
                <c:v>0</c:v>
              </c:pt>
              <c:pt idx="4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E3A9-AD40-AAC5-6963FCAC7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3264784"/>
        <c:axId val="938274640"/>
      </c:barChart>
      <c:lineChart>
        <c:grouping val="standard"/>
        <c:varyColors val="0"/>
        <c:ser>
          <c:idx val="1"/>
          <c:order val="1"/>
          <c:tx>
            <c:v>Normal Distribution (-42848, 193990)</c:v>
          </c:tx>
          <c:marker>
            <c:symbol val="none"/>
          </c:marker>
          <c:cat>
            <c:numLit>
              <c:formatCode>General</c:formatCode>
              <c:ptCount val="50"/>
              <c:pt idx="0">
                <c:v>-295699.28103409399</c:v>
              </c:pt>
              <c:pt idx="1">
                <c:v>-275448.4741304192</c:v>
              </c:pt>
              <c:pt idx="2">
                <c:v>-255197.66722674438</c:v>
              </c:pt>
              <c:pt idx="3">
                <c:v>-234946.86032306956</c:v>
              </c:pt>
              <c:pt idx="4">
                <c:v>-214696.05341939474</c:v>
              </c:pt>
              <c:pt idx="5">
                <c:v>-194445.24651571992</c:v>
              </c:pt>
              <c:pt idx="6">
                <c:v>-174194.4396120451</c:v>
              </c:pt>
              <c:pt idx="7">
                <c:v>-153943.63270837028</c:v>
              </c:pt>
              <c:pt idx="8">
                <c:v>-133692.82580469549</c:v>
              </c:pt>
              <c:pt idx="9">
                <c:v>-113442.01890102065</c:v>
              </c:pt>
              <c:pt idx="10">
                <c:v>-93191.211997345847</c:v>
              </c:pt>
              <c:pt idx="11">
                <c:v>-72940.405093671026</c:v>
              </c:pt>
              <c:pt idx="12">
                <c:v>-52689.598189996206</c:v>
              </c:pt>
              <c:pt idx="13">
                <c:v>-32438.791286321393</c:v>
              </c:pt>
              <c:pt idx="14">
                <c:v>-12187.984382646575</c:v>
              </c:pt>
              <c:pt idx="15">
                <c:v>8062.8225210282417</c:v>
              </c:pt>
              <c:pt idx="16">
                <c:v>28313.62942470306</c:v>
              </c:pt>
              <c:pt idx="17">
                <c:v>48564.436328377873</c:v>
              </c:pt>
              <c:pt idx="18">
                <c:v>68815.243232052686</c:v>
              </c:pt>
              <c:pt idx="19">
                <c:v>89066.050135727506</c:v>
              </c:pt>
              <c:pt idx="20">
                <c:v>109316.85703940233</c:v>
              </c:pt>
              <c:pt idx="21">
                <c:v>129567.66394307715</c:v>
              </c:pt>
              <c:pt idx="22">
                <c:v>149818.47084675197</c:v>
              </c:pt>
              <c:pt idx="23">
                <c:v>170069.27775042679</c:v>
              </c:pt>
              <c:pt idx="24">
                <c:v>190320.08465410158</c:v>
              </c:pt>
              <c:pt idx="25">
                <c:v>210570.8915577764</c:v>
              </c:pt>
              <c:pt idx="26">
                <c:v>230821.69846145122</c:v>
              </c:pt>
              <c:pt idx="27">
                <c:v>251072.50536512604</c:v>
              </c:pt>
              <c:pt idx="28">
                <c:v>271323.31226880086</c:v>
              </c:pt>
              <c:pt idx="29">
                <c:v>291574.11917247565</c:v>
              </c:pt>
              <c:pt idx="30">
                <c:v>311824.9260761505</c:v>
              </c:pt>
              <c:pt idx="31">
                <c:v>332075.73297982529</c:v>
              </c:pt>
              <c:pt idx="32">
                <c:v>352326.53988350014</c:v>
              </c:pt>
              <c:pt idx="33">
                <c:v>372577.34678717493</c:v>
              </c:pt>
              <c:pt idx="34">
                <c:v>392828.15369084978</c:v>
              </c:pt>
              <c:pt idx="35">
                <c:v>413078.96059452457</c:v>
              </c:pt>
              <c:pt idx="36">
                <c:v>433329.76749819936</c:v>
              </c:pt>
              <c:pt idx="37">
                <c:v>453580.57440187421</c:v>
              </c:pt>
              <c:pt idx="38">
                <c:v>473831.381305549</c:v>
              </c:pt>
              <c:pt idx="39">
                <c:v>494082.18820922385</c:v>
              </c:pt>
              <c:pt idx="40">
                <c:v>514332.99511289864</c:v>
              </c:pt>
              <c:pt idx="41">
                <c:v>534583.80201657349</c:v>
              </c:pt>
              <c:pt idx="42">
                <c:v>554834.60892024834</c:v>
              </c:pt>
              <c:pt idx="43">
                <c:v>575085.41582392307</c:v>
              </c:pt>
              <c:pt idx="44">
                <c:v>595336.22272759792</c:v>
              </c:pt>
              <c:pt idx="45">
                <c:v>615587.02963127277</c:v>
              </c:pt>
              <c:pt idx="46">
                <c:v>635837.83653494751</c:v>
              </c:pt>
              <c:pt idx="47">
                <c:v>656088.64343862236</c:v>
              </c:pt>
              <c:pt idx="48">
                <c:v>676339.4503422972</c:v>
              </c:pt>
              <c:pt idx="49">
                <c:v>696590.25724597205</c:v>
              </c:pt>
            </c:numLit>
          </c:cat>
          <c:val>
            <c:numLit>
              <c:formatCode>General</c:formatCode>
              <c:ptCount val="50"/>
              <c:pt idx="0">
                <c:v>17.809726140886831</c:v>
              </c:pt>
              <c:pt idx="1">
                <c:v>20.29472268174333</c:v>
              </c:pt>
              <c:pt idx="2">
                <c:v>22.875802330749366</c:v>
              </c:pt>
              <c:pt idx="3">
                <c:v>25.505678619181165</c:v>
              </c:pt>
              <c:pt idx="4">
                <c:v>28.129678277626311</c:v>
              </c:pt>
              <c:pt idx="5">
                <c:v>30.687392009450775</c:v>
              </c:pt>
              <c:pt idx="6">
                <c:v>33.1148301056798</c:v>
              </c:pt>
              <c:pt idx="7">
                <c:v>35.346988239516477</c:v>
              </c:pt>
              <c:pt idx="8">
                <c:v>37.32068733808088</c:v>
              </c:pt>
              <c:pt idx="9">
                <c:v>38.977518452627287</c:v>
              </c:pt>
              <c:pt idx="10">
                <c:v>40.26670306113423</c:v>
              </c:pt>
              <c:pt idx="11">
                <c:v>41.147674191721308</c:v>
              </c:pt>
              <c:pt idx="12">
                <c:v>41.592195596298517</c:v>
              </c:pt>
              <c:pt idx="13">
                <c:v>41.585864600487959</c:v>
              </c:pt>
              <c:pt idx="14">
                <c:v>41.128887054033505</c:v>
              </c:pt>
              <c:pt idx="15">
                <c:v>40.236066215900955</c:v>
              </c:pt>
              <c:pt idx="16">
                <c:v>38.936006411251611</c:v>
              </c:pt>
              <c:pt idx="17">
                <c:v>37.269591219670822</c:v>
              </c:pt>
              <c:pt idx="18">
                <c:v>35.287849131166709</c:v>
              </c:pt>
              <c:pt idx="19">
                <c:v>33.049362046870662</c:v>
              </c:pt>
              <c:pt idx="20">
                <c:v>30.617399956444725</c:v>
              </c:pt>
              <c:pt idx="21">
                <c:v>28.056976489276568</c:v>
              </c:pt>
              <c:pt idx="22">
                <c:v>25.432014532248164</c:v>
              </c:pt>
              <c:pt idx="23">
                <c:v>22.802790224364966</c:v>
              </c:pt>
              <c:pt idx="24">
                <c:v>20.223790367300946</c:v>
              </c:pt>
              <c:pt idx="25">
                <c:v>17.742076678110276</c:v>
              </c:pt>
              <c:pt idx="26">
                <c:v>15.3962049220439</c:v>
              </c:pt>
              <c:pt idx="27">
                <c:v>13.215702326812705</c:v>
              </c:pt>
              <c:pt idx="28">
                <c:v>11.221066781766121</c:v>
              </c:pt>
              <c:pt idx="29">
                <c:v>9.4242192284997834</c:v>
              </c:pt>
              <c:pt idx="30">
                <c:v>7.8293182606898704</c:v>
              </c:pt>
              <c:pt idx="31">
                <c:v>6.4338339593056153</c:v>
              </c:pt>
              <c:pt idx="32">
                <c:v>5.2297759551765486</c:v>
              </c:pt>
              <c:pt idx="33">
                <c:v>4.2049772774957637</c:v>
              </c:pt>
              <c:pt idx="34">
                <c:v>3.3443487284567963</c:v>
              </c:pt>
              <c:pt idx="35">
                <c:v>2.6310360222289066</c:v>
              </c:pt>
              <c:pt idx="36">
                <c:v>2.0474314291783764</c:v>
              </c:pt>
              <c:pt idx="37">
                <c:v>1.5760110972681611</c:v>
              </c:pt>
              <c:pt idx="38">
                <c:v>1.1999869160143164</c:v>
              </c:pt>
              <c:pt idx="39">
                <c:v>0.90377658278362816</c:v>
              </c:pt>
              <c:pt idx="40">
                <c:v>0.67330678676116185</c:v>
              </c:pt>
              <c:pt idx="41">
                <c:v>0.49617197861773493</c:v>
              </c:pt>
              <c:pt idx="42">
                <c:v>0.36167526600675898</c:v>
              </c:pt>
              <c:pt idx="43">
                <c:v>0.26077906229421449</c:v>
              </c:pt>
              <c:pt idx="44">
                <c:v>0.18599187098104461</c:v>
              </c:pt>
              <c:pt idx="45">
                <c:v>0.13121471489332101</c:v>
              </c:pt>
              <c:pt idx="46">
                <c:v>9.1566887706764244E-2</c:v>
              </c:pt>
              <c:pt idx="47">
                <c:v>6.3206493702098604E-2</c:v>
              </c:pt>
              <c:pt idx="48">
                <c:v>4.3157102497840376E-2</c:v>
              </c:pt>
              <c:pt idx="49">
                <c:v>2.9148096133868904E-2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3A9-AD40-AAC5-6963FCAC7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264784"/>
        <c:axId val="938274640"/>
      </c:lineChart>
      <c:catAx>
        <c:axId val="74326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Hedging Costs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38274640"/>
        <c:crosses val="autoZero"/>
        <c:auto val="1"/>
        <c:lblAlgn val="ctr"/>
        <c:lblOffset val="100"/>
        <c:noMultiLvlLbl val="0"/>
      </c:catAx>
      <c:valAx>
        <c:axId val="93827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3264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7</xdr:row>
      <xdr:rowOff>114299</xdr:rowOff>
    </xdr:from>
    <xdr:to>
      <xdr:col>15</xdr:col>
      <xdr:colOff>619125</xdr:colOff>
      <xdr:row>24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161192</xdr:colOff>
      <xdr:row>10</xdr:row>
      <xdr:rowOff>7327</xdr:rowOff>
    </xdr:from>
    <xdr:to>
      <xdr:col>16</xdr:col>
      <xdr:colOff>265967</xdr:colOff>
      <xdr:row>26</xdr:row>
      <xdr:rowOff>95251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</xdr:row>
          <xdr:rowOff>139700</xdr:rowOff>
        </xdr:from>
        <xdr:to>
          <xdr:col>1</xdr:col>
          <xdr:colOff>342900</xdr:colOff>
          <xdr:row>1</xdr:row>
          <xdr:rowOff>520700</xdr:rowOff>
        </xdr:to>
        <xdr:sp macro="" textlink="">
          <xdr:nvSpPr>
            <xdr:cNvPr id="7173" name="Button 5" descr="Delta Hedg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596900</xdr:colOff>
      <xdr:row>8</xdr:row>
      <xdr:rowOff>12700</xdr:rowOff>
    </xdr:from>
    <xdr:to>
      <xdr:col>9</xdr:col>
      <xdr:colOff>203200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485ECF-91E7-5F69-01EE-086CF3469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1</xdr:row>
          <xdr:rowOff>139700</xdr:rowOff>
        </xdr:from>
        <xdr:to>
          <xdr:col>1</xdr:col>
          <xdr:colOff>444500</xdr:colOff>
          <xdr:row>1</xdr:row>
          <xdr:rowOff>520700</xdr:rowOff>
        </xdr:to>
        <xdr:sp macro="" textlink="">
          <xdr:nvSpPr>
            <xdr:cNvPr id="8194" name="Stop Loss Hedging" descr="Stop Loss Hedging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482600</xdr:colOff>
      <xdr:row>8</xdr:row>
      <xdr:rowOff>12700</xdr:rowOff>
    </xdr:from>
    <xdr:to>
      <xdr:col>9</xdr:col>
      <xdr:colOff>63500</xdr:colOff>
      <xdr:row>35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0039D9-4EB9-68E9-E2E4-7AAB36E07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416A2-5E3B-4EB2-AD81-65313A754D78}">
  <sheetPr codeName="Feuil2"/>
  <dimension ref="A1:N25"/>
  <sheetViews>
    <sheetView topLeftCell="D1" zoomScale="130" zoomScaleNormal="130" workbookViewId="0">
      <selection activeCell="F28" sqref="F28"/>
    </sheetView>
  </sheetViews>
  <sheetFormatPr baseColWidth="10" defaultColWidth="8.83203125" defaultRowHeight="13" x14ac:dyDescent="0.15"/>
  <cols>
    <col min="1" max="3" width="11.5" customWidth="1"/>
    <col min="4" max="4" width="10.83203125" customWidth="1"/>
    <col min="5" max="5" width="2" customWidth="1"/>
    <col min="6" max="6" width="14.1640625" bestFit="1" customWidth="1"/>
    <col min="7" max="7" width="15.1640625" bestFit="1" customWidth="1"/>
    <col min="8" max="8" width="14.1640625" bestFit="1" customWidth="1"/>
    <col min="9" max="256" width="11.5" customWidth="1"/>
  </cols>
  <sheetData>
    <row r="1" spans="1:14" x14ac:dyDescent="0.15">
      <c r="A1" s="1" t="s">
        <v>6</v>
      </c>
      <c r="B1" s="2" t="s">
        <v>7</v>
      </c>
      <c r="C1" s="2" t="s">
        <v>0</v>
      </c>
      <c r="D1" s="2" t="s">
        <v>9</v>
      </c>
      <c r="E1" s="2"/>
      <c r="F1" s="2" t="s">
        <v>15</v>
      </c>
      <c r="G1" s="2" t="s">
        <v>11</v>
      </c>
      <c r="H1" s="2" t="s">
        <v>14</v>
      </c>
      <c r="I1" s="3" t="s">
        <v>12</v>
      </c>
      <c r="M1" s="4" t="s">
        <v>1</v>
      </c>
      <c r="N1" s="5">
        <v>0.2</v>
      </c>
    </row>
    <row r="2" spans="1:14" x14ac:dyDescent="0.15">
      <c r="A2" s="6"/>
      <c r="B2" s="7" t="s">
        <v>8</v>
      </c>
      <c r="C2" s="7" t="s">
        <v>2</v>
      </c>
      <c r="D2" s="7" t="s">
        <v>10</v>
      </c>
      <c r="E2" s="7"/>
      <c r="F2" s="7" t="s">
        <v>13</v>
      </c>
      <c r="G2" s="7" t="s">
        <v>13</v>
      </c>
      <c r="H2" s="7" t="s">
        <v>13</v>
      </c>
      <c r="I2" s="8"/>
      <c r="M2" s="4" t="s">
        <v>3</v>
      </c>
      <c r="N2" s="5">
        <v>0.05</v>
      </c>
    </row>
    <row r="3" spans="1:14" x14ac:dyDescent="0.15">
      <c r="A3" s="4">
        <v>0</v>
      </c>
      <c r="B3" s="9">
        <v>49</v>
      </c>
      <c r="C3" s="10">
        <f t="shared" ref="C3:C22" si="0">NORMSDIST((LN(B3/N$3)+(N$2+((N$1)^2)/2)*(20-A3)/52)/(N$1*SQRT((20-A3)/52)))</f>
        <v>0.52160466106639636</v>
      </c>
      <c r="D3" s="11">
        <f>ROUND(100000*C3,0)</f>
        <v>52160</v>
      </c>
      <c r="E3" s="11"/>
      <c r="F3" s="22">
        <f>(D3*B3)/1000</f>
        <v>2555.84</v>
      </c>
      <c r="G3" s="4"/>
      <c r="H3" s="12">
        <f>F3-300</f>
        <v>2255.84</v>
      </c>
      <c r="I3" s="4">
        <f>D3</f>
        <v>52160</v>
      </c>
      <c r="J3" s="13"/>
      <c r="M3" s="4" t="s">
        <v>4</v>
      </c>
      <c r="N3">
        <v>50</v>
      </c>
    </row>
    <row r="4" spans="1:14" x14ac:dyDescent="0.15">
      <c r="A4" s="4">
        <f>A3+1</f>
        <v>1</v>
      </c>
      <c r="B4" s="9">
        <f ca="1">B3*EXP(((N$4-(N$1^2)/2))*((A4-A3)/52)+N$1*NORMSINV(RAND())*SQRT((A4-A3)/52))</f>
        <v>49.862571935445011</v>
      </c>
      <c r="C4" s="10">
        <f t="shared" ca="1" si="0"/>
        <v>0.57487447024620753</v>
      </c>
      <c r="D4" s="11">
        <f t="shared" ref="D4:D23" ca="1" si="1">ROUND(C4*100000-I3,0)</f>
        <v>5327</v>
      </c>
      <c r="E4" s="11"/>
      <c r="F4" s="12">
        <f t="shared" ref="F4:F23" ca="1" si="2">(D4*B4)/1000</f>
        <v>265.61792070011558</v>
      </c>
      <c r="G4" s="4">
        <f>ROUND(H3*N$2/52,1)</f>
        <v>2.2000000000000002</v>
      </c>
      <c r="H4" s="12">
        <f t="shared" ref="H4:H20" ca="1" si="3">H3+F4+G4</f>
        <v>2523.6579207001155</v>
      </c>
      <c r="I4" s="4">
        <f ca="1">D3+D4</f>
        <v>57487</v>
      </c>
      <c r="J4" s="13"/>
      <c r="M4" s="4" t="s">
        <v>5</v>
      </c>
      <c r="N4" s="5">
        <v>0.13</v>
      </c>
    </row>
    <row r="5" spans="1:14" x14ac:dyDescent="0.15">
      <c r="A5" s="4">
        <f t="shared" ref="A5:A21" si="4">A4+1</f>
        <v>2</v>
      </c>
      <c r="B5" s="9">
        <f t="shared" ref="B5:B22" ca="1" si="5">B4*EXP(((N$4-(N$1^2)/2))*((A5-A4)/52)+N$1*NORMSINV(RAND())*SQRT((A5-A4)/52))</f>
        <v>47.602670252619639</v>
      </c>
      <c r="C5" s="10">
        <f t="shared" ca="1" si="0"/>
        <v>0.41619472117077067</v>
      </c>
      <c r="D5" s="11">
        <f t="shared" ca="1" si="1"/>
        <v>-15868</v>
      </c>
      <c r="E5" s="11"/>
      <c r="F5" s="12">
        <f t="shared" ca="1" si="2"/>
        <v>-755.3591715685684</v>
      </c>
      <c r="G5" s="4">
        <f ca="1">ROUND(H4*N$2/52,1)</f>
        <v>2.4</v>
      </c>
      <c r="H5" s="12">
        <f ca="1">H4+F5+G5</f>
        <v>1770.6987491315472</v>
      </c>
      <c r="I5" s="4">
        <f t="shared" ref="I5:I22" ca="1" si="6">I4+D5</f>
        <v>41619</v>
      </c>
      <c r="J5" s="13"/>
    </row>
    <row r="6" spans="1:14" x14ac:dyDescent="0.15">
      <c r="A6" s="4">
        <f t="shared" si="4"/>
        <v>3</v>
      </c>
      <c r="B6" s="9">
        <f t="shared" ca="1" si="5"/>
        <v>45.247154679383449</v>
      </c>
      <c r="C6" s="10">
        <f t="shared" ca="1" si="0"/>
        <v>0.25036765493210505</v>
      </c>
      <c r="D6" s="11">
        <f ca="1">ROUND(C6*100000-I5,0)</f>
        <v>-16582</v>
      </c>
      <c r="E6" s="11"/>
      <c r="F6" s="12">
        <f t="shared" ca="1" si="2"/>
        <v>-750.28831889353637</v>
      </c>
      <c r="G6" s="4">
        <f t="shared" ref="G6:G23" ca="1" si="7">ROUND(H5*N$2/52,1)</f>
        <v>1.7</v>
      </c>
      <c r="H6" s="12">
        <f t="shared" ca="1" si="3"/>
        <v>1022.1104302380108</v>
      </c>
      <c r="I6" s="4">
        <f t="shared" ca="1" si="6"/>
        <v>25037</v>
      </c>
      <c r="J6" s="13"/>
    </row>
    <row r="7" spans="1:14" x14ac:dyDescent="0.15">
      <c r="A7" s="4">
        <f t="shared" si="4"/>
        <v>4</v>
      </c>
      <c r="B7" s="9">
        <f t="shared" ca="1" si="5"/>
        <v>47.221915714255942</v>
      </c>
      <c r="C7" s="10">
        <f t="shared" ca="1" si="0"/>
        <v>0.37405502205687391</v>
      </c>
      <c r="D7" s="11">
        <f t="shared" ca="1" si="1"/>
        <v>12369</v>
      </c>
      <c r="E7" s="11"/>
      <c r="F7" s="12">
        <f t="shared" ca="1" si="2"/>
        <v>584.08787546963174</v>
      </c>
      <c r="G7" s="4">
        <f ca="1">ROUND(H6*N$2/52,1)</f>
        <v>1</v>
      </c>
      <c r="H7" s="12">
        <f t="shared" ca="1" si="3"/>
        <v>1607.1983057076427</v>
      </c>
      <c r="I7" s="4">
        <f t="shared" ca="1" si="6"/>
        <v>37406</v>
      </c>
      <c r="J7" s="13"/>
    </row>
    <row r="8" spans="1:14" x14ac:dyDescent="0.15">
      <c r="A8" s="4">
        <f>A7+1</f>
        <v>5</v>
      </c>
      <c r="B8" s="9">
        <f t="shared" ca="1" si="5"/>
        <v>45.97223888991055</v>
      </c>
      <c r="C8" s="10">
        <f t="shared" ca="1" si="0"/>
        <v>0.27629606191509259</v>
      </c>
      <c r="D8" s="11">
        <f t="shared" ca="1" si="1"/>
        <v>-9776</v>
      </c>
      <c r="E8" s="11"/>
      <c r="F8" s="12">
        <f t="shared" ca="1" si="2"/>
        <v>-449.42460738776555</v>
      </c>
      <c r="G8" s="4">
        <f ca="1">ROUND(H7*N$2/52,1)</f>
        <v>1.5</v>
      </c>
      <c r="H8" s="12">
        <f t="shared" ca="1" si="3"/>
        <v>1159.2736983198772</v>
      </c>
      <c r="I8" s="4">
        <f t="shared" ca="1" si="6"/>
        <v>27630</v>
      </c>
      <c r="J8" s="13"/>
    </row>
    <row r="9" spans="1:14" x14ac:dyDescent="0.15">
      <c r="A9" s="4">
        <f t="shared" si="4"/>
        <v>6</v>
      </c>
      <c r="B9" s="9">
        <f ca="1">B8*EXP(((N$4-(N$1^2)/2))*((A9-A8)/52)+N$1*NORMSINV(RAND())*SQRT((A9-A8)/52))</f>
        <v>44.534534303867943</v>
      </c>
      <c r="C9" s="10">
        <f t="shared" ca="1" si="0"/>
        <v>0.1751863683826651</v>
      </c>
      <c r="D9" s="11">
        <f t="shared" ca="1" si="1"/>
        <v>-10111</v>
      </c>
      <c r="E9" s="11"/>
      <c r="F9" s="12">
        <f t="shared" ca="1" si="2"/>
        <v>-450.28867634640881</v>
      </c>
      <c r="G9" s="4">
        <f ca="1">ROUND(H8*N$2/52,1)</f>
        <v>1.1000000000000001</v>
      </c>
      <c r="H9" s="12">
        <f t="shared" ca="1" si="3"/>
        <v>710.08502197346843</v>
      </c>
      <c r="I9" s="4">
        <f t="shared" ca="1" si="6"/>
        <v>17519</v>
      </c>
      <c r="J9" s="13"/>
      <c r="L9" s="14"/>
    </row>
    <row r="10" spans="1:14" x14ac:dyDescent="0.15">
      <c r="A10" s="4">
        <f t="shared" si="4"/>
        <v>7</v>
      </c>
      <c r="B10" s="9">
        <f t="shared" ca="1" si="5"/>
        <v>43.136853409727934</v>
      </c>
      <c r="C10" s="10">
        <f t="shared" ca="1" si="0"/>
        <v>9.6551710575234137E-2</v>
      </c>
      <c r="D10" s="11">
        <f t="shared" ca="1" si="1"/>
        <v>-7864</v>
      </c>
      <c r="E10" s="11"/>
      <c r="F10" s="12">
        <f ca="1">(D10*B10)/1000</f>
        <v>-339.22821521410049</v>
      </c>
      <c r="G10" s="4">
        <f ca="1">ROUND(H9*N$2/52,1)</f>
        <v>0.7</v>
      </c>
      <c r="H10" s="12">
        <f t="shared" ca="1" si="3"/>
        <v>371.55680675936793</v>
      </c>
      <c r="I10" s="4">
        <f t="shared" ca="1" si="6"/>
        <v>9655</v>
      </c>
      <c r="J10" s="13"/>
    </row>
    <row r="11" spans="1:14" x14ac:dyDescent="0.15">
      <c r="A11" s="4">
        <f t="shared" si="4"/>
        <v>8</v>
      </c>
      <c r="B11" s="9">
        <f t="shared" ca="1" si="5"/>
        <v>43.584415517839624</v>
      </c>
      <c r="C11" s="10">
        <f t="shared" ca="1" si="0"/>
        <v>0.10362338842313305</v>
      </c>
      <c r="D11" s="11">
        <f ca="1">ROUND(C11*100000-I10,0)</f>
        <v>707</v>
      </c>
      <c r="E11" s="11"/>
      <c r="F11" s="12">
        <f t="shared" ca="1" si="2"/>
        <v>30.814181771112612</v>
      </c>
      <c r="G11" s="4">
        <f t="shared" ref="G11:G15" ca="1" si="8">ROUND(H10*N$2/52,1)</f>
        <v>0.4</v>
      </c>
      <c r="H11" s="12">
        <f t="shared" ca="1" si="3"/>
        <v>402.77098853048051</v>
      </c>
      <c r="I11" s="4">
        <f t="shared" ca="1" si="6"/>
        <v>10362</v>
      </c>
      <c r="J11" s="13"/>
    </row>
    <row r="12" spans="1:14" x14ac:dyDescent="0.15">
      <c r="A12" s="4">
        <f t="shared" si="4"/>
        <v>9</v>
      </c>
      <c r="B12" s="9">
        <f t="shared" ca="1" si="5"/>
        <v>44.945011166605909</v>
      </c>
      <c r="C12" s="10">
        <f t="shared" ca="1" si="0"/>
        <v>0.15921112739458945</v>
      </c>
      <c r="D12" s="11">
        <f ca="1">ROUND(C12*100000-I11,0)</f>
        <v>5559</v>
      </c>
      <c r="E12" s="11"/>
      <c r="F12" s="12">
        <f t="shared" ca="1" si="2"/>
        <v>249.84931707516225</v>
      </c>
      <c r="G12" s="4">
        <f t="shared" ca="1" si="8"/>
        <v>0.4</v>
      </c>
      <c r="H12" s="12">
        <f t="shared" ca="1" si="3"/>
        <v>653.02030560564276</v>
      </c>
      <c r="I12" s="4">
        <f t="shared" ca="1" si="6"/>
        <v>15921</v>
      </c>
      <c r="J12" s="13"/>
    </row>
    <row r="13" spans="1:14" x14ac:dyDescent="0.15">
      <c r="A13" s="4">
        <f t="shared" si="4"/>
        <v>10</v>
      </c>
      <c r="B13" s="9">
        <f t="shared" ca="1" si="5"/>
        <v>45.293430086925561</v>
      </c>
      <c r="C13" s="10">
        <f t="shared" ca="1" si="0"/>
        <v>0.16510180488947013</v>
      </c>
      <c r="D13" s="11">
        <f t="shared" ca="1" si="1"/>
        <v>589</v>
      </c>
      <c r="E13" s="11"/>
      <c r="F13" s="12">
        <f t="shared" ca="1" si="2"/>
        <v>26.677830321199156</v>
      </c>
      <c r="G13" s="4">
        <f t="shared" ca="1" si="8"/>
        <v>0.6</v>
      </c>
      <c r="H13" s="12">
        <f t="shared" ca="1" si="3"/>
        <v>680.29813592684195</v>
      </c>
      <c r="I13" s="4">
        <f t="shared" ca="1" si="6"/>
        <v>16510</v>
      </c>
      <c r="J13" s="13"/>
    </row>
    <row r="14" spans="1:14" x14ac:dyDescent="0.15">
      <c r="A14" s="4">
        <f t="shared" si="4"/>
        <v>11</v>
      </c>
      <c r="B14" s="9">
        <f t="shared" ca="1" si="5"/>
        <v>45.350979905928391</v>
      </c>
      <c r="C14" s="10">
        <f t="shared" ca="1" si="0"/>
        <v>0.15214156270407997</v>
      </c>
      <c r="D14" s="11">
        <f t="shared" ca="1" si="1"/>
        <v>-1296</v>
      </c>
      <c r="E14" s="11"/>
      <c r="F14" s="12">
        <f ca="1">(D14*B14)/1000</f>
        <v>-58.774869958083194</v>
      </c>
      <c r="G14" s="4">
        <f t="shared" ca="1" si="8"/>
        <v>0.7</v>
      </c>
      <c r="H14" s="12">
        <f t="shared" ca="1" si="3"/>
        <v>622.22326596875882</v>
      </c>
      <c r="I14" s="4">
        <f t="shared" ca="1" si="6"/>
        <v>15214</v>
      </c>
      <c r="J14" s="13"/>
    </row>
    <row r="15" spans="1:14" x14ac:dyDescent="0.15">
      <c r="A15" s="4">
        <f t="shared" si="4"/>
        <v>12</v>
      </c>
      <c r="B15" s="9">
        <f t="shared" ca="1" si="5"/>
        <v>46.068863841215546</v>
      </c>
      <c r="C15" s="10">
        <f t="shared" ca="1" si="0"/>
        <v>0.18231962566031695</v>
      </c>
      <c r="D15" s="11">
        <f t="shared" ca="1" si="1"/>
        <v>3018</v>
      </c>
      <c r="E15" s="11"/>
      <c r="F15" s="12">
        <f t="shared" ca="1" si="2"/>
        <v>139.03583107278851</v>
      </c>
      <c r="G15" s="4">
        <f t="shared" ca="1" si="8"/>
        <v>0.6</v>
      </c>
      <c r="H15" s="12">
        <f t="shared" ca="1" si="3"/>
        <v>761.85909704154733</v>
      </c>
      <c r="I15" s="4">
        <f t="shared" ca="1" si="6"/>
        <v>18232</v>
      </c>
      <c r="J15" s="13"/>
    </row>
    <row r="16" spans="1:14" x14ac:dyDescent="0.15">
      <c r="A16" s="4">
        <f t="shared" si="4"/>
        <v>13</v>
      </c>
      <c r="B16" s="9">
        <f t="shared" ca="1" si="5"/>
        <v>47.523038232964893</v>
      </c>
      <c r="C16" s="10">
        <f t="shared" ca="1" si="0"/>
        <v>0.28638154444214431</v>
      </c>
      <c r="D16" s="11">
        <f ca="1">ROUND(C16*100000-I15,0)</f>
        <v>10406</v>
      </c>
      <c r="E16" s="11"/>
      <c r="F16" s="12">
        <f t="shared" ca="1" si="2"/>
        <v>494.52473585223265</v>
      </c>
      <c r="G16" s="4">
        <f t="shared" ca="1" si="7"/>
        <v>0.7</v>
      </c>
      <c r="H16" s="12">
        <f ca="1">H15+F16+G16</f>
        <v>1257.08383289378</v>
      </c>
      <c r="I16" s="4">
        <f t="shared" ca="1" si="6"/>
        <v>28638</v>
      </c>
      <c r="J16" s="13"/>
    </row>
    <row r="17" spans="1:10" x14ac:dyDescent="0.15">
      <c r="A17" s="4">
        <f t="shared" si="4"/>
        <v>14</v>
      </c>
      <c r="B17" s="9">
        <f t="shared" ca="1" si="5"/>
        <v>49.097396830866359</v>
      </c>
      <c r="C17" s="10">
        <f t="shared" ca="1" si="0"/>
        <v>0.44067513020568694</v>
      </c>
      <c r="D17" s="11">
        <f t="shared" ca="1" si="1"/>
        <v>15430</v>
      </c>
      <c r="E17" s="11"/>
      <c r="F17" s="12">
        <f t="shared" ca="1" si="2"/>
        <v>757.57283310026787</v>
      </c>
      <c r="G17" s="4">
        <f t="shared" ca="1" si="7"/>
        <v>1.2</v>
      </c>
      <c r="H17" s="12">
        <f t="shared" ca="1" si="3"/>
        <v>2015.8566659940479</v>
      </c>
      <c r="I17" s="4">
        <f t="shared" ca="1" si="6"/>
        <v>44068</v>
      </c>
      <c r="J17" s="13"/>
    </row>
    <row r="18" spans="1:10" x14ac:dyDescent="0.15">
      <c r="A18" s="4">
        <f t="shared" si="4"/>
        <v>15</v>
      </c>
      <c r="B18" s="9">
        <f t="shared" ca="1" si="5"/>
        <v>47.639230449113043</v>
      </c>
      <c r="C18" s="10">
        <f ca="1">NORMSDIST((LN(B18/N$3)+(N$2+((N$1)^2)/2)*(20-A18)/52)/(N$1*SQRT((20-A18)/52)))</f>
        <v>0.25099732726010537</v>
      </c>
      <c r="D18" s="11">
        <f t="shared" ca="1" si="1"/>
        <v>-18968</v>
      </c>
      <c r="E18" s="11"/>
      <c r="F18" s="12">
        <f t="shared" ca="1" si="2"/>
        <v>-903.62092315877624</v>
      </c>
      <c r="G18" s="4">
        <f t="shared" ca="1" si="7"/>
        <v>1.9</v>
      </c>
      <c r="H18" s="12">
        <f t="shared" ca="1" si="3"/>
        <v>1114.1357428352717</v>
      </c>
      <c r="I18" s="4">
        <f t="shared" ca="1" si="6"/>
        <v>25100</v>
      </c>
      <c r="J18" s="13"/>
    </row>
    <row r="19" spans="1:10" x14ac:dyDescent="0.15">
      <c r="A19" s="4">
        <f t="shared" si="4"/>
        <v>16</v>
      </c>
      <c r="B19" s="9">
        <f t="shared" ca="1" si="5"/>
        <v>46.386304446796281</v>
      </c>
      <c r="C19" s="10">
        <f t="shared" ca="1" si="0"/>
        <v>0.10467636289975712</v>
      </c>
      <c r="D19" s="11">
        <f ca="1">ROUND(C19*100000-I18,0)</f>
        <v>-14632</v>
      </c>
      <c r="E19" s="11"/>
      <c r="F19" s="12">
        <f t="shared" ca="1" si="2"/>
        <v>-678.72440666552313</v>
      </c>
      <c r="G19" s="4">
        <f t="shared" ca="1" si="7"/>
        <v>1.1000000000000001</v>
      </c>
      <c r="H19" s="12">
        <f t="shared" ca="1" si="3"/>
        <v>436.51133616974857</v>
      </c>
      <c r="I19" s="4">
        <f t="shared" ca="1" si="6"/>
        <v>10468</v>
      </c>
      <c r="J19" s="13"/>
    </row>
    <row r="20" spans="1:10" x14ac:dyDescent="0.15">
      <c r="A20" s="4">
        <f t="shared" si="4"/>
        <v>17</v>
      </c>
      <c r="B20" s="9">
        <f t="shared" ca="1" si="5"/>
        <v>48.600241281279501</v>
      </c>
      <c r="C20" s="10">
        <f ca="1">NORMSDIST((LN(B20/N$3)+(N$2+((N$1)^2)/2)*(20-A20)/52)/(N$1*SQRT((20-A20)/52)))</f>
        <v>0.30607334759188021</v>
      </c>
      <c r="D20" s="11">
        <f ca="1">ROUND(C20*100000-I19,0)</f>
        <v>20139</v>
      </c>
      <c r="E20" s="11"/>
      <c r="F20" s="12">
        <f t="shared" ca="1" si="2"/>
        <v>978.76025916368792</v>
      </c>
      <c r="G20" s="4">
        <f t="shared" ca="1" si="7"/>
        <v>0.4</v>
      </c>
      <c r="H20" s="12">
        <f t="shared" ca="1" si="3"/>
        <v>1415.6715953334365</v>
      </c>
      <c r="I20" s="4">
        <f t="shared" ca="1" si="6"/>
        <v>30607</v>
      </c>
      <c r="J20" s="13"/>
    </row>
    <row r="21" spans="1:10" x14ac:dyDescent="0.15">
      <c r="A21" s="4">
        <f t="shared" si="4"/>
        <v>18</v>
      </c>
      <c r="B21" s="9">
        <f t="shared" ca="1" si="5"/>
        <v>48.492222216686081</v>
      </c>
      <c r="C21" s="10">
        <f t="shared" ca="1" si="0"/>
        <v>0.23822969090941645</v>
      </c>
      <c r="D21" s="11">
        <f t="shared" ca="1" si="1"/>
        <v>-6784</v>
      </c>
      <c r="E21" s="11"/>
      <c r="F21" s="12">
        <f t="shared" ca="1" si="2"/>
        <v>-328.97123551799837</v>
      </c>
      <c r="G21" s="4">
        <f t="shared" ca="1" si="7"/>
        <v>1.4</v>
      </c>
      <c r="H21" s="12">
        <f ca="1">H20+F21+G21</f>
        <v>1088.1003598154382</v>
      </c>
      <c r="I21" s="4">
        <f t="shared" ca="1" si="6"/>
        <v>23823</v>
      </c>
      <c r="J21" s="13"/>
    </row>
    <row r="22" spans="1:10" x14ac:dyDescent="0.15">
      <c r="A22" s="4">
        <f>A21+1</f>
        <v>19</v>
      </c>
      <c r="B22" s="9">
        <f t="shared" ca="1" si="5"/>
        <v>49.911443585578212</v>
      </c>
      <c r="C22" s="10">
        <f t="shared" ca="1" si="0"/>
        <v>0.4938647930404374</v>
      </c>
      <c r="D22" s="11">
        <f ca="1">ROUND(C22*100000-I21,0)</f>
        <v>25563</v>
      </c>
      <c r="E22" s="11"/>
      <c r="F22" s="12">
        <f t="shared" ca="1" si="2"/>
        <v>1275.8862323781359</v>
      </c>
      <c r="G22" s="4">
        <f t="shared" ca="1" si="7"/>
        <v>1</v>
      </c>
      <c r="H22" s="12">
        <f ca="1">H21+F22+G22</f>
        <v>2364.9865921935743</v>
      </c>
      <c r="I22" s="4">
        <f t="shared" ca="1" si="6"/>
        <v>49386</v>
      </c>
      <c r="J22" s="13"/>
    </row>
    <row r="23" spans="1:10" ht="14" thickBot="1" x14ac:dyDescent="0.2">
      <c r="A23" s="4">
        <f>A22+1</f>
        <v>20</v>
      </c>
      <c r="B23" s="9">
        <f ca="1">B22*EXP(((N$4-(N$1^2)/2))*((A23-A22)/52)+N$1*NORMSINV(RAND())*SQRT((A23-A22)/52))</f>
        <v>52.539351300506333</v>
      </c>
      <c r="C23" s="10">
        <f ca="1">IF(B23&gt;50,1,0)</f>
        <v>1</v>
      </c>
      <c r="D23" s="11">
        <f t="shared" ca="1" si="1"/>
        <v>50614</v>
      </c>
      <c r="E23" s="11"/>
      <c r="F23" s="12">
        <f t="shared" ca="1" si="2"/>
        <v>2659.2267267238276</v>
      </c>
      <c r="G23" s="4">
        <f t="shared" ca="1" si="7"/>
        <v>2.2999999999999998</v>
      </c>
      <c r="H23" s="12">
        <f ca="1">H22+F23+G23</f>
        <v>5026.5133189174021</v>
      </c>
      <c r="I23" s="4" t="str">
        <f ca="1">IF(B23&gt;50,"delivery","liquidation")</f>
        <v>delivery</v>
      </c>
      <c r="J23" s="13"/>
    </row>
    <row r="24" spans="1:10" ht="14" thickBot="1" x14ac:dyDescent="0.2">
      <c r="F24" s="23" t="s">
        <v>17</v>
      </c>
      <c r="G24" s="24"/>
      <c r="H24" s="25">
        <f ca="1">IF(B23&gt;50,H23-50*100,H23)</f>
        <v>26.513318917402103</v>
      </c>
    </row>
    <row r="25" spans="1:10" x14ac:dyDescent="0.15">
      <c r="G25" s="4"/>
    </row>
  </sheetData>
  <pageMargins left="0.75" right="0.75" top="1" bottom="1" header="0.4921259845" footer="0.492125984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8D240-2F90-4048-84B0-A50B6B450507}">
  <sheetPr codeName="Feuil3"/>
  <dimension ref="A1:N25"/>
  <sheetViews>
    <sheetView topLeftCell="G1" zoomScale="130" workbookViewId="0">
      <selection activeCell="G8" sqref="G8"/>
    </sheetView>
  </sheetViews>
  <sheetFormatPr baseColWidth="10" defaultColWidth="8.83203125" defaultRowHeight="13" x14ac:dyDescent="0.15"/>
  <cols>
    <col min="1" max="2" width="11.5" customWidth="1"/>
    <col min="3" max="3" width="2" customWidth="1"/>
    <col min="4" max="4" width="10.83203125" customWidth="1"/>
    <col min="5" max="5" width="2" customWidth="1"/>
    <col min="6" max="6" width="14" bestFit="1" customWidth="1"/>
    <col min="7" max="7" width="15.1640625" bestFit="1" customWidth="1"/>
    <col min="8" max="256" width="11.5" customWidth="1"/>
  </cols>
  <sheetData>
    <row r="1" spans="1:14" x14ac:dyDescent="0.15">
      <c r="A1" s="1" t="s">
        <v>6</v>
      </c>
      <c r="B1" s="2" t="s">
        <v>7</v>
      </c>
      <c r="C1" s="2"/>
      <c r="D1" s="2" t="s">
        <v>9</v>
      </c>
      <c r="E1" s="2"/>
      <c r="F1" s="2" t="s">
        <v>15</v>
      </c>
      <c r="G1" s="2" t="s">
        <v>11</v>
      </c>
      <c r="H1" s="2" t="s">
        <v>14</v>
      </c>
      <c r="I1" s="3" t="s">
        <v>12</v>
      </c>
      <c r="J1" s="4" t="s">
        <v>16</v>
      </c>
      <c r="M1" s="4" t="s">
        <v>1</v>
      </c>
      <c r="N1" s="5">
        <v>0.2</v>
      </c>
    </row>
    <row r="2" spans="1:14" x14ac:dyDescent="0.15">
      <c r="A2" s="6"/>
      <c r="B2" s="7" t="s">
        <v>8</v>
      </c>
      <c r="C2" s="7"/>
      <c r="D2" s="7" t="s">
        <v>10</v>
      </c>
      <c r="E2" s="7"/>
      <c r="F2" s="7" t="s">
        <v>13</v>
      </c>
      <c r="G2" s="7" t="s">
        <v>13</v>
      </c>
      <c r="H2" s="7" t="s">
        <v>13</v>
      </c>
      <c r="I2" s="8"/>
      <c r="M2" s="4" t="s">
        <v>3</v>
      </c>
      <c r="N2" s="5">
        <v>0.05</v>
      </c>
    </row>
    <row r="3" spans="1:14" x14ac:dyDescent="0.15">
      <c r="A3" s="4">
        <v>0</v>
      </c>
      <c r="B3" s="9">
        <v>49</v>
      </c>
      <c r="C3" s="10"/>
      <c r="D3" s="11">
        <f>ROUND(100000*C3,0)</f>
        <v>0</v>
      </c>
      <c r="E3" s="11"/>
      <c r="F3" s="12">
        <f t="shared" ref="F3:F23" si="0">(D3*B3)/1000</f>
        <v>0</v>
      </c>
      <c r="G3" s="4"/>
      <c r="H3" s="12">
        <f>F3-300</f>
        <v>-300</v>
      </c>
      <c r="I3" s="4">
        <v>0</v>
      </c>
      <c r="J3" s="13">
        <f>I3/100000</f>
        <v>0</v>
      </c>
      <c r="M3" s="4" t="s">
        <v>4</v>
      </c>
      <c r="N3">
        <v>50</v>
      </c>
    </row>
    <row r="4" spans="1:14" x14ac:dyDescent="0.15">
      <c r="A4" s="4">
        <f t="shared" ref="A4:A23" si="1">A3+1</f>
        <v>1</v>
      </c>
      <c r="B4" s="9">
        <f t="shared" ref="B4:B23" ca="1" si="2">B3*EXP(((N$4-(N$1^2)/2))*((A4-A3)/52)+N$1*NORMSINV(RAND())*SQRT((A4-A3)/52))</f>
        <v>49.066851261837918</v>
      </c>
      <c r="C4" s="18"/>
      <c r="D4" s="19">
        <f t="shared" ref="D4:D23" ca="1" si="3">IF(B4&lt;50,IF(I3=0,0,-100000),IF(I3=0,100000,0))</f>
        <v>0</v>
      </c>
      <c r="E4" s="21"/>
      <c r="F4" s="16">
        <f t="shared" ca="1" si="0"/>
        <v>0</v>
      </c>
      <c r="G4" s="15">
        <f t="shared" ref="G4:G22" si="4">ROUND(H3*N$2/52,1)</f>
        <v>-0.3</v>
      </c>
      <c r="H4" s="16">
        <f t="shared" ref="H4:H16" ca="1" si="5">H3+F4+G4</f>
        <v>-300.3</v>
      </c>
      <c r="I4" s="15">
        <f t="shared" ref="I4:I22" ca="1" si="6">I3+D4</f>
        <v>0</v>
      </c>
      <c r="J4" s="13">
        <f t="shared" ref="J4:J22" ca="1" si="7">I4/100000</f>
        <v>0</v>
      </c>
      <c r="M4" s="4" t="s">
        <v>5</v>
      </c>
      <c r="N4" s="5">
        <v>0.13</v>
      </c>
    </row>
    <row r="5" spans="1:14" x14ac:dyDescent="0.15">
      <c r="A5" s="4">
        <f t="shared" si="1"/>
        <v>2</v>
      </c>
      <c r="B5" s="9">
        <f t="shared" ca="1" si="2"/>
        <v>47.672503677404016</v>
      </c>
      <c r="C5" s="18"/>
      <c r="D5" s="19">
        <f t="shared" ca="1" si="3"/>
        <v>0</v>
      </c>
      <c r="E5" s="19"/>
      <c r="F5" s="16">
        <f t="shared" ca="1" si="0"/>
        <v>0</v>
      </c>
      <c r="G5" s="15">
        <f t="shared" ca="1" si="4"/>
        <v>-0.3</v>
      </c>
      <c r="H5" s="16">
        <f t="shared" ca="1" si="5"/>
        <v>-300.60000000000002</v>
      </c>
      <c r="I5" s="15">
        <f t="shared" ca="1" si="6"/>
        <v>0</v>
      </c>
      <c r="J5" s="13">
        <f t="shared" ca="1" si="7"/>
        <v>0</v>
      </c>
    </row>
    <row r="6" spans="1:14" x14ac:dyDescent="0.15">
      <c r="A6" s="4">
        <f t="shared" si="1"/>
        <v>3</v>
      </c>
      <c r="B6" s="9">
        <f t="shared" ca="1" si="2"/>
        <v>48.725638583536586</v>
      </c>
      <c r="C6" s="18"/>
      <c r="D6" s="19">
        <f t="shared" ca="1" si="3"/>
        <v>0</v>
      </c>
      <c r="E6" s="19"/>
      <c r="F6" s="16">
        <f t="shared" ca="1" si="0"/>
        <v>0</v>
      </c>
      <c r="G6" s="15">
        <f t="shared" ca="1" si="4"/>
        <v>-0.3</v>
      </c>
      <c r="H6" s="16">
        <f t="shared" ca="1" si="5"/>
        <v>-300.90000000000003</v>
      </c>
      <c r="I6" s="15">
        <f t="shared" ca="1" si="6"/>
        <v>0</v>
      </c>
      <c r="J6" s="13">
        <f t="shared" ca="1" si="7"/>
        <v>0</v>
      </c>
    </row>
    <row r="7" spans="1:14" x14ac:dyDescent="0.15">
      <c r="A7" s="4">
        <f t="shared" si="1"/>
        <v>4</v>
      </c>
      <c r="B7" s="9">
        <f t="shared" ca="1" si="2"/>
        <v>49.699571712828906</v>
      </c>
      <c r="C7" s="18"/>
      <c r="D7" s="19">
        <f t="shared" ca="1" si="3"/>
        <v>0</v>
      </c>
      <c r="E7" s="19"/>
      <c r="F7" s="16">
        <f t="shared" ca="1" si="0"/>
        <v>0</v>
      </c>
      <c r="G7" s="15">
        <f ca="1">ROUND(H6*N$2/52,1)</f>
        <v>-0.3</v>
      </c>
      <c r="H7" s="16">
        <f t="shared" ca="1" si="5"/>
        <v>-301.20000000000005</v>
      </c>
      <c r="I7" s="15">
        <f t="shared" ca="1" si="6"/>
        <v>0</v>
      </c>
      <c r="J7" s="13">
        <f t="shared" ca="1" si="7"/>
        <v>0</v>
      </c>
    </row>
    <row r="8" spans="1:14" x14ac:dyDescent="0.15">
      <c r="A8" s="4">
        <f t="shared" si="1"/>
        <v>5</v>
      </c>
      <c r="B8" s="9">
        <f t="shared" ca="1" si="2"/>
        <v>50.21930524975474</v>
      </c>
      <c r="C8" s="18"/>
      <c r="D8" s="19">
        <f t="shared" ref="D8:D20" ca="1" si="8">IF(B8&lt;50,IF(I7=0,0,-100000),IF(I7=0,100000,0))</f>
        <v>100000</v>
      </c>
      <c r="E8" s="19"/>
      <c r="F8" s="16">
        <f t="shared" ca="1" si="0"/>
        <v>5021.9305249754743</v>
      </c>
      <c r="G8" s="15">
        <f t="shared" ca="1" si="4"/>
        <v>-0.3</v>
      </c>
      <c r="H8" s="16">
        <f t="shared" ca="1" si="5"/>
        <v>4720.4305249754743</v>
      </c>
      <c r="I8" s="15">
        <f t="shared" ca="1" si="6"/>
        <v>100000</v>
      </c>
      <c r="J8" s="13">
        <f t="shared" ca="1" si="7"/>
        <v>1</v>
      </c>
    </row>
    <row r="9" spans="1:14" x14ac:dyDescent="0.15">
      <c r="A9" s="4">
        <f t="shared" si="1"/>
        <v>6</v>
      </c>
      <c r="B9" s="9">
        <f t="shared" ca="1" si="2"/>
        <v>47.44532197483754</v>
      </c>
      <c r="C9" s="18"/>
      <c r="D9" s="19">
        <f t="shared" ca="1" si="8"/>
        <v>-100000</v>
      </c>
      <c r="E9" s="19"/>
      <c r="F9" s="16">
        <f t="shared" ca="1" si="0"/>
        <v>-4744.5321974837534</v>
      </c>
      <c r="G9" s="15">
        <f t="shared" ca="1" si="4"/>
        <v>4.5</v>
      </c>
      <c r="H9" s="16">
        <f t="shared" ca="1" si="5"/>
        <v>-19.60167250827908</v>
      </c>
      <c r="I9" s="15">
        <f t="shared" ca="1" si="6"/>
        <v>0</v>
      </c>
      <c r="J9" s="13">
        <f t="shared" ca="1" si="7"/>
        <v>0</v>
      </c>
      <c r="L9" s="20"/>
    </row>
    <row r="10" spans="1:14" x14ac:dyDescent="0.15">
      <c r="A10" s="4">
        <f t="shared" si="1"/>
        <v>7</v>
      </c>
      <c r="B10" s="9">
        <f t="shared" ca="1" si="2"/>
        <v>47.466926229229784</v>
      </c>
      <c r="C10" s="18"/>
      <c r="D10" s="19">
        <f t="shared" ca="1" si="8"/>
        <v>0</v>
      </c>
      <c r="E10" s="19"/>
      <c r="F10" s="16">
        <f ca="1">(D10*B10)/1000</f>
        <v>0</v>
      </c>
      <c r="G10" s="15">
        <f t="shared" ca="1" si="4"/>
        <v>0</v>
      </c>
      <c r="H10" s="16">
        <f t="shared" ca="1" si="5"/>
        <v>-19.60167250827908</v>
      </c>
      <c r="I10" s="15">
        <f t="shared" ca="1" si="6"/>
        <v>0</v>
      </c>
      <c r="J10" s="13">
        <f t="shared" ca="1" si="7"/>
        <v>0</v>
      </c>
    </row>
    <row r="11" spans="1:14" x14ac:dyDescent="0.15">
      <c r="A11" s="4">
        <f t="shared" si="1"/>
        <v>8</v>
      </c>
      <c r="B11" s="9">
        <f t="shared" ca="1" si="2"/>
        <v>46.016661002426467</v>
      </c>
      <c r="C11" s="18"/>
      <c r="D11" s="19">
        <f t="shared" ca="1" si="8"/>
        <v>0</v>
      </c>
      <c r="E11" s="19"/>
      <c r="F11" s="16">
        <f ca="1">(D11*B11)/1000</f>
        <v>0</v>
      </c>
      <c r="G11" s="15">
        <f t="shared" ca="1" si="4"/>
        <v>0</v>
      </c>
      <c r="H11" s="16">
        <f t="shared" ca="1" si="5"/>
        <v>-19.60167250827908</v>
      </c>
      <c r="I11" s="15">
        <f t="shared" ca="1" si="6"/>
        <v>0</v>
      </c>
      <c r="J11" s="13">
        <f t="shared" ca="1" si="7"/>
        <v>0</v>
      </c>
    </row>
    <row r="12" spans="1:14" x14ac:dyDescent="0.15">
      <c r="A12" s="4">
        <f t="shared" si="1"/>
        <v>9</v>
      </c>
      <c r="B12" s="9">
        <f ca="1">B11*EXP(((N$4-(N$1^2)/2))*((A12-A11)/52)+N$1*NORMSINV(RAND())*SQRT((A12-A11)/52))</f>
        <v>44.581186914971759</v>
      </c>
      <c r="C12" s="18"/>
      <c r="D12" s="19">
        <f t="shared" ca="1" si="8"/>
        <v>0</v>
      </c>
      <c r="E12" s="19"/>
      <c r="F12" s="16">
        <f t="shared" ca="1" si="0"/>
        <v>0</v>
      </c>
      <c r="G12" s="15">
        <f t="shared" ca="1" si="4"/>
        <v>0</v>
      </c>
      <c r="H12" s="16">
        <f t="shared" ca="1" si="5"/>
        <v>-19.60167250827908</v>
      </c>
      <c r="I12" s="15">
        <f t="shared" ca="1" si="6"/>
        <v>0</v>
      </c>
      <c r="J12" s="13">
        <f t="shared" ca="1" si="7"/>
        <v>0</v>
      </c>
    </row>
    <row r="13" spans="1:14" x14ac:dyDescent="0.15">
      <c r="A13" s="4">
        <f t="shared" si="1"/>
        <v>10</v>
      </c>
      <c r="B13" s="9">
        <f ca="1">B12*EXP(((N$4-(N$1^2)/2))*((A13-A12)/52)+N$1*NORMSINV(RAND())*SQRT((A13-A12)/52))</f>
        <v>44.792207792938783</v>
      </c>
      <c r="C13" s="18"/>
      <c r="D13" s="19">
        <f t="shared" ca="1" si="8"/>
        <v>0</v>
      </c>
      <c r="E13" s="19"/>
      <c r="F13" s="16">
        <f t="shared" ca="1" si="0"/>
        <v>0</v>
      </c>
      <c r="G13" s="15">
        <f t="shared" ca="1" si="4"/>
        <v>0</v>
      </c>
      <c r="H13" s="16">
        <f t="shared" ca="1" si="5"/>
        <v>-19.60167250827908</v>
      </c>
      <c r="I13" s="15">
        <f t="shared" ca="1" si="6"/>
        <v>0</v>
      </c>
      <c r="J13" s="13">
        <f t="shared" ca="1" si="7"/>
        <v>0</v>
      </c>
    </row>
    <row r="14" spans="1:14" x14ac:dyDescent="0.15">
      <c r="A14" s="4">
        <f t="shared" si="1"/>
        <v>11</v>
      </c>
      <c r="B14" s="9">
        <f t="shared" ca="1" si="2"/>
        <v>45.136483341711539</v>
      </c>
      <c r="C14" s="18"/>
      <c r="D14" s="19">
        <f t="shared" ca="1" si="8"/>
        <v>0</v>
      </c>
      <c r="E14" s="19"/>
      <c r="F14" s="16">
        <f t="shared" ca="1" si="0"/>
        <v>0</v>
      </c>
      <c r="G14" s="15">
        <f t="shared" ca="1" si="4"/>
        <v>0</v>
      </c>
      <c r="H14" s="16">
        <f t="shared" ca="1" si="5"/>
        <v>-19.60167250827908</v>
      </c>
      <c r="I14" s="15">
        <f t="shared" ca="1" si="6"/>
        <v>0</v>
      </c>
      <c r="J14" s="13">
        <f t="shared" ca="1" si="7"/>
        <v>0</v>
      </c>
    </row>
    <row r="15" spans="1:14" x14ac:dyDescent="0.15">
      <c r="A15" s="4">
        <f t="shared" si="1"/>
        <v>12</v>
      </c>
      <c r="B15" s="9">
        <f t="shared" ca="1" si="2"/>
        <v>44.612577309889069</v>
      </c>
      <c r="C15" s="18"/>
      <c r="D15" s="19">
        <f t="shared" ca="1" si="8"/>
        <v>0</v>
      </c>
      <c r="E15" s="19"/>
      <c r="F15" s="16">
        <f t="shared" ca="1" si="0"/>
        <v>0</v>
      </c>
      <c r="G15" s="15">
        <f t="shared" ca="1" si="4"/>
        <v>0</v>
      </c>
      <c r="H15" s="16">
        <f t="shared" ca="1" si="5"/>
        <v>-19.60167250827908</v>
      </c>
      <c r="I15" s="15">
        <f t="shared" ca="1" si="6"/>
        <v>0</v>
      </c>
      <c r="J15" s="13">
        <f t="shared" ca="1" si="7"/>
        <v>0</v>
      </c>
    </row>
    <row r="16" spans="1:14" x14ac:dyDescent="0.15">
      <c r="A16" s="4">
        <f t="shared" si="1"/>
        <v>13</v>
      </c>
      <c r="B16" s="9">
        <f t="shared" ca="1" si="2"/>
        <v>46.200282128657321</v>
      </c>
      <c r="C16" s="18"/>
      <c r="D16" s="19">
        <f t="shared" ca="1" si="8"/>
        <v>0</v>
      </c>
      <c r="E16" s="19"/>
      <c r="F16" s="16">
        <f t="shared" ca="1" si="0"/>
        <v>0</v>
      </c>
      <c r="G16" s="15">
        <f t="shared" ca="1" si="4"/>
        <v>0</v>
      </c>
      <c r="H16" s="16">
        <f t="shared" ca="1" si="5"/>
        <v>-19.60167250827908</v>
      </c>
      <c r="I16" s="15">
        <f t="shared" ca="1" si="6"/>
        <v>0</v>
      </c>
      <c r="J16" s="13">
        <f t="shared" ca="1" si="7"/>
        <v>0</v>
      </c>
    </row>
    <row r="17" spans="1:10" x14ac:dyDescent="0.15">
      <c r="A17" s="4">
        <f t="shared" si="1"/>
        <v>14</v>
      </c>
      <c r="B17" s="9">
        <f t="shared" ca="1" si="2"/>
        <v>45.612286894776794</v>
      </c>
      <c r="C17" s="18"/>
      <c r="D17" s="19">
        <f t="shared" ca="1" si="8"/>
        <v>0</v>
      </c>
      <c r="E17" s="19"/>
      <c r="F17" s="16">
        <f t="shared" ca="1" si="0"/>
        <v>0</v>
      </c>
      <c r="G17" s="15">
        <f t="shared" ca="1" si="4"/>
        <v>0</v>
      </c>
      <c r="H17" s="16">
        <f t="shared" ref="H17:H22" ca="1" si="9">H16+F17+G17</f>
        <v>-19.60167250827908</v>
      </c>
      <c r="I17" s="15">
        <f t="shared" ca="1" si="6"/>
        <v>0</v>
      </c>
      <c r="J17" s="13">
        <f t="shared" ca="1" si="7"/>
        <v>0</v>
      </c>
    </row>
    <row r="18" spans="1:10" x14ac:dyDescent="0.15">
      <c r="A18" s="4">
        <f t="shared" si="1"/>
        <v>15</v>
      </c>
      <c r="B18" s="9">
        <f t="shared" ca="1" si="2"/>
        <v>45.943720173262875</v>
      </c>
      <c r="C18" s="18"/>
      <c r="D18" s="19">
        <f t="shared" ca="1" si="8"/>
        <v>0</v>
      </c>
      <c r="E18" s="19"/>
      <c r="F18" s="16">
        <f t="shared" ca="1" si="0"/>
        <v>0</v>
      </c>
      <c r="G18" s="15">
        <f t="shared" ca="1" si="4"/>
        <v>0</v>
      </c>
      <c r="H18" s="16">
        <f t="shared" ca="1" si="9"/>
        <v>-19.60167250827908</v>
      </c>
      <c r="I18" s="15">
        <f t="shared" ca="1" si="6"/>
        <v>0</v>
      </c>
      <c r="J18" s="13">
        <f t="shared" ca="1" si="7"/>
        <v>0</v>
      </c>
    </row>
    <row r="19" spans="1:10" x14ac:dyDescent="0.15">
      <c r="A19" s="4">
        <f t="shared" si="1"/>
        <v>16</v>
      </c>
      <c r="B19" s="9">
        <f t="shared" ca="1" si="2"/>
        <v>45.481776156570412</v>
      </c>
      <c r="C19" s="18"/>
      <c r="D19" s="19">
        <f t="shared" ca="1" si="8"/>
        <v>0</v>
      </c>
      <c r="E19" s="19"/>
      <c r="F19" s="16">
        <f t="shared" ca="1" si="0"/>
        <v>0</v>
      </c>
      <c r="G19" s="15">
        <f t="shared" ca="1" si="4"/>
        <v>0</v>
      </c>
      <c r="H19" s="16">
        <f t="shared" ca="1" si="9"/>
        <v>-19.60167250827908</v>
      </c>
      <c r="I19" s="15">
        <f t="shared" ca="1" si="6"/>
        <v>0</v>
      </c>
      <c r="J19" s="13">
        <f t="shared" ca="1" si="7"/>
        <v>0</v>
      </c>
    </row>
    <row r="20" spans="1:10" x14ac:dyDescent="0.15">
      <c r="A20" s="4">
        <f t="shared" si="1"/>
        <v>17</v>
      </c>
      <c r="B20" s="9">
        <f t="shared" ca="1" si="2"/>
        <v>46.650591256837266</v>
      </c>
      <c r="C20" s="18"/>
      <c r="D20" s="19">
        <f t="shared" ca="1" si="8"/>
        <v>0</v>
      </c>
      <c r="E20" s="19"/>
      <c r="F20" s="16">
        <f t="shared" ca="1" si="0"/>
        <v>0</v>
      </c>
      <c r="G20" s="15">
        <f t="shared" ca="1" si="4"/>
        <v>0</v>
      </c>
      <c r="H20" s="16">
        <f t="shared" ca="1" si="9"/>
        <v>-19.60167250827908</v>
      </c>
      <c r="I20" s="15">
        <f t="shared" ca="1" si="6"/>
        <v>0</v>
      </c>
      <c r="J20" s="13">
        <f t="shared" ca="1" si="7"/>
        <v>0</v>
      </c>
    </row>
    <row r="21" spans="1:10" x14ac:dyDescent="0.15">
      <c r="A21" s="4">
        <f t="shared" si="1"/>
        <v>18</v>
      </c>
      <c r="B21" s="9">
        <f t="shared" ca="1" si="2"/>
        <v>44.727535588676155</v>
      </c>
      <c r="C21" s="18"/>
      <c r="D21" s="19">
        <f t="shared" ca="1" si="3"/>
        <v>0</v>
      </c>
      <c r="E21" s="19"/>
      <c r="F21" s="16">
        <f t="shared" ca="1" si="0"/>
        <v>0</v>
      </c>
      <c r="G21" s="15">
        <f t="shared" ca="1" si="4"/>
        <v>0</v>
      </c>
      <c r="H21" s="16">
        <f t="shared" ca="1" si="9"/>
        <v>-19.60167250827908</v>
      </c>
      <c r="I21" s="15">
        <f t="shared" ca="1" si="6"/>
        <v>0</v>
      </c>
      <c r="J21" s="13">
        <f t="shared" ca="1" si="7"/>
        <v>0</v>
      </c>
    </row>
    <row r="22" spans="1:10" x14ac:dyDescent="0.15">
      <c r="A22" s="4">
        <f t="shared" si="1"/>
        <v>19</v>
      </c>
      <c r="B22" s="9">
        <f t="shared" ca="1" si="2"/>
        <v>43.804588678797323</v>
      </c>
      <c r="C22" s="18"/>
      <c r="D22" s="19">
        <f t="shared" ca="1" si="3"/>
        <v>0</v>
      </c>
      <c r="E22" s="19"/>
      <c r="F22" s="16">
        <f t="shared" ca="1" si="0"/>
        <v>0</v>
      </c>
      <c r="G22" s="15">
        <f t="shared" ca="1" si="4"/>
        <v>0</v>
      </c>
      <c r="H22" s="16">
        <f t="shared" ca="1" si="9"/>
        <v>-19.60167250827908</v>
      </c>
      <c r="I22" s="15">
        <f t="shared" ca="1" si="6"/>
        <v>0</v>
      </c>
      <c r="J22" s="13">
        <f t="shared" ca="1" si="7"/>
        <v>0</v>
      </c>
    </row>
    <row r="23" spans="1:10" ht="14" thickBot="1" x14ac:dyDescent="0.2">
      <c r="A23" s="4">
        <f t="shared" si="1"/>
        <v>20</v>
      </c>
      <c r="B23" s="9">
        <f t="shared" ca="1" si="2"/>
        <v>42.373361653934737</v>
      </c>
      <c r="C23" s="18"/>
      <c r="D23" s="19">
        <f t="shared" ca="1" si="3"/>
        <v>0</v>
      </c>
      <c r="E23" s="19"/>
      <c r="F23" s="16">
        <f t="shared" ca="1" si="0"/>
        <v>0</v>
      </c>
      <c r="G23" s="15">
        <f t="shared" ref="G23" ca="1" si="10">ROUND(H22*N$2/52,1)</f>
        <v>0</v>
      </c>
      <c r="H23" s="16">
        <f ca="1">H22+F23+G23</f>
        <v>-19.60167250827908</v>
      </c>
      <c r="I23" s="15" t="str">
        <f ca="1">IF(B23&gt;50,"delivery","liquidation")</f>
        <v>liquidation</v>
      </c>
      <c r="J23" s="13">
        <f ca="1">IF(B23&gt;50,1,0)</f>
        <v>0</v>
      </c>
    </row>
    <row r="24" spans="1:10" ht="14" thickBot="1" x14ac:dyDescent="0.2">
      <c r="B24" s="9"/>
      <c r="C24" s="18"/>
      <c r="D24" s="17"/>
      <c r="E24" s="17"/>
      <c r="F24" s="23" t="s">
        <v>17</v>
      </c>
      <c r="G24" s="24"/>
      <c r="H24" s="25">
        <f ca="1">IF(B23&gt;50,H23-50*100,H23)</f>
        <v>-19.60167250827908</v>
      </c>
      <c r="I24" s="15"/>
      <c r="J24" s="13"/>
    </row>
    <row r="25" spans="1:10" x14ac:dyDescent="0.15">
      <c r="G25" s="4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2130-5267-4449-B523-9A47BC0C7689}">
  <sheetPr codeName="Sheet1"/>
  <dimension ref="A2:H15"/>
  <sheetViews>
    <sheetView tabSelected="1" workbookViewId="0">
      <selection activeCell="D2" sqref="D2"/>
    </sheetView>
  </sheetViews>
  <sheetFormatPr baseColWidth="10" defaultColWidth="8.83203125" defaultRowHeight="13" x14ac:dyDescent="0.15"/>
  <cols>
    <col min="1" max="1" width="17.83203125" bestFit="1" customWidth="1"/>
    <col min="2" max="2" width="7.6640625" bestFit="1" customWidth="1"/>
    <col min="3" max="3" width="15.83203125" bestFit="1" customWidth="1"/>
    <col min="4" max="4" width="18.83203125" bestFit="1" customWidth="1"/>
    <col min="5" max="5" width="12.33203125" customWidth="1"/>
    <col min="6" max="6" width="13.5" customWidth="1"/>
    <col min="7" max="7" width="11.6640625" bestFit="1" customWidth="1"/>
    <col min="8" max="8" width="15.83203125" customWidth="1"/>
  </cols>
  <sheetData>
    <row r="2" spans="1:8" ht="56" x14ac:dyDescent="0.15">
      <c r="D2" s="29" t="s">
        <v>35</v>
      </c>
      <c r="E2" s="29" t="s">
        <v>34</v>
      </c>
      <c r="F2" s="29" t="s">
        <v>32</v>
      </c>
      <c r="G2" s="29" t="s">
        <v>33</v>
      </c>
      <c r="H2" s="29" t="s">
        <v>31</v>
      </c>
    </row>
    <row r="3" spans="1:8" x14ac:dyDescent="0.15">
      <c r="A3" s="30" t="s">
        <v>30</v>
      </c>
      <c r="B3" s="32" t="s">
        <v>18</v>
      </c>
      <c r="D3" s="38">
        <v>-60010.567741671228</v>
      </c>
      <c r="E3" s="37">
        <v>17790.058065730784</v>
      </c>
      <c r="F3" s="37">
        <v>9891.8254686863384</v>
      </c>
      <c r="G3" s="37">
        <v>-143522.43660216592</v>
      </c>
      <c r="H3" s="39">
        <v>386855.12599999999</v>
      </c>
    </row>
    <row r="4" spans="1:8" ht="15" x14ac:dyDescent="0.2">
      <c r="A4" s="30" t="s">
        <v>19</v>
      </c>
      <c r="B4" s="32">
        <v>49</v>
      </c>
    </row>
    <row r="5" spans="1:8" x14ac:dyDescent="0.15">
      <c r="A5" s="30" t="s">
        <v>20</v>
      </c>
      <c r="B5" s="32">
        <v>50</v>
      </c>
      <c r="D5" s="35" t="s">
        <v>21</v>
      </c>
      <c r="E5" s="29"/>
      <c r="F5" s="40">
        <v>0.997</v>
      </c>
      <c r="G5" t="s">
        <v>36</v>
      </c>
    </row>
    <row r="6" spans="1:8" x14ac:dyDescent="0.15">
      <c r="A6" s="30" t="s">
        <v>22</v>
      </c>
      <c r="B6" s="32">
        <f>20/52</f>
        <v>0.38461538461538464</v>
      </c>
    </row>
    <row r="7" spans="1:8" x14ac:dyDescent="0.15">
      <c r="A7" s="30" t="s">
        <v>23</v>
      </c>
      <c r="B7" s="32">
        <v>150</v>
      </c>
      <c r="D7" s="28"/>
    </row>
    <row r="8" spans="1:8" x14ac:dyDescent="0.15">
      <c r="A8" s="30" t="s">
        <v>24</v>
      </c>
      <c r="B8" s="33">
        <v>0.05</v>
      </c>
    </row>
    <row r="9" spans="1:8" x14ac:dyDescent="0.15">
      <c r="A9" s="30" t="s">
        <v>25</v>
      </c>
      <c r="B9" s="33">
        <v>0.13</v>
      </c>
    </row>
    <row r="10" spans="1:8" x14ac:dyDescent="0.15">
      <c r="A10" s="30" t="s">
        <v>26</v>
      </c>
      <c r="B10" s="34">
        <v>0.2</v>
      </c>
    </row>
    <row r="11" spans="1:8" x14ac:dyDescent="0.15">
      <c r="A11" s="31" t="s">
        <v>27</v>
      </c>
      <c r="B11" s="34">
        <v>0</v>
      </c>
    </row>
    <row r="13" spans="1:8" x14ac:dyDescent="0.15">
      <c r="A13" s="31" t="s">
        <v>28</v>
      </c>
      <c r="B13" s="32">
        <v>1000</v>
      </c>
    </row>
    <row r="14" spans="1:8" x14ac:dyDescent="0.15">
      <c r="A14" s="26"/>
    </row>
    <row r="15" spans="1:8" x14ac:dyDescent="0.15">
      <c r="A15" s="27" t="s">
        <v>29</v>
      </c>
      <c r="B15" s="36">
        <v>240052.73232717163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DeltaHedging.DeltaHedging" altText="Delta Hedge">
                <anchor moveWithCells="1" sizeWithCells="1">
                  <from>
                    <xdr:col>0</xdr:col>
                    <xdr:colOff>177800</xdr:colOff>
                    <xdr:row>1</xdr:row>
                    <xdr:rowOff>139700</xdr:rowOff>
                  </from>
                  <to>
                    <xdr:col>1</xdr:col>
                    <xdr:colOff>342900</xdr:colOff>
                    <xdr:row>1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8855-B0B0-4EA8-AB59-793570385B02}">
  <sheetPr codeName="Sheet2"/>
  <dimension ref="A2:H16"/>
  <sheetViews>
    <sheetView zoomScale="110" workbookViewId="0">
      <selection activeCell="H7" sqref="H7"/>
    </sheetView>
  </sheetViews>
  <sheetFormatPr baseColWidth="10" defaultColWidth="8.83203125" defaultRowHeight="13" x14ac:dyDescent="0.15"/>
  <cols>
    <col min="1" max="1" width="17.83203125" bestFit="1" customWidth="1"/>
    <col min="2" max="2" width="9.1640625" bestFit="1" customWidth="1"/>
    <col min="3" max="3" width="15.83203125" bestFit="1" customWidth="1"/>
    <col min="4" max="4" width="19" bestFit="1" customWidth="1"/>
    <col min="5" max="5" width="12.33203125" customWidth="1"/>
    <col min="6" max="6" width="13.5" customWidth="1"/>
    <col min="7" max="7" width="11.83203125" bestFit="1" customWidth="1"/>
    <col min="8" max="8" width="15.83203125" customWidth="1"/>
  </cols>
  <sheetData>
    <row r="2" spans="1:8" ht="56" x14ac:dyDescent="0.15">
      <c r="D2" s="29" t="s">
        <v>35</v>
      </c>
      <c r="E2" s="29" t="s">
        <v>34</v>
      </c>
      <c r="F2" s="29" t="s">
        <v>32</v>
      </c>
      <c r="G2" s="29" t="s">
        <v>33</v>
      </c>
      <c r="H2" s="29" t="s">
        <v>31</v>
      </c>
    </row>
    <row r="3" spans="1:8" x14ac:dyDescent="0.15">
      <c r="A3" s="30" t="s">
        <v>30</v>
      </c>
      <c r="B3" s="32" t="s">
        <v>18</v>
      </c>
      <c r="D3" s="38">
        <v>-42847.082413558754</v>
      </c>
      <c r="E3" s="37">
        <v>193990.99133839435</v>
      </c>
      <c r="F3" s="37">
        <v>706715.66069780942</v>
      </c>
      <c r="G3" s="37">
        <v>-305824.68448593142</v>
      </c>
      <c r="H3" s="39">
        <v>269800</v>
      </c>
    </row>
    <row r="4" spans="1:8" ht="15" x14ac:dyDescent="0.2">
      <c r="A4" s="30" t="s">
        <v>19</v>
      </c>
      <c r="B4" s="32">
        <v>49</v>
      </c>
    </row>
    <row r="5" spans="1:8" x14ac:dyDescent="0.15">
      <c r="A5" s="30" t="s">
        <v>20</v>
      </c>
      <c r="B5" s="32">
        <v>50</v>
      </c>
      <c r="D5" s="35" t="s">
        <v>21</v>
      </c>
      <c r="E5" s="29"/>
      <c r="F5" s="40">
        <v>0.65600000000000003</v>
      </c>
      <c r="G5" t="s">
        <v>37</v>
      </c>
    </row>
    <row r="6" spans="1:8" x14ac:dyDescent="0.15">
      <c r="A6" s="30" t="s">
        <v>22</v>
      </c>
      <c r="B6" s="48">
        <f>20/52</f>
        <v>0.38461538461538464</v>
      </c>
    </row>
    <row r="7" spans="1:8" x14ac:dyDescent="0.15">
      <c r="A7" s="30" t="s">
        <v>23</v>
      </c>
      <c r="B7" s="32">
        <v>150</v>
      </c>
      <c r="D7" s="28"/>
    </row>
    <row r="8" spans="1:8" x14ac:dyDescent="0.15">
      <c r="A8" s="30" t="s">
        <v>24</v>
      </c>
      <c r="B8" s="33">
        <v>0.05</v>
      </c>
    </row>
    <row r="9" spans="1:8" x14ac:dyDescent="0.15">
      <c r="A9" s="30" t="s">
        <v>25</v>
      </c>
      <c r="B9" s="33">
        <v>0.13</v>
      </c>
    </row>
    <row r="10" spans="1:8" x14ac:dyDescent="0.15">
      <c r="A10" s="30" t="s">
        <v>26</v>
      </c>
      <c r="B10" s="34">
        <v>0.2</v>
      </c>
    </row>
    <row r="11" spans="1:8" x14ac:dyDescent="0.15">
      <c r="A11" s="31" t="s">
        <v>27</v>
      </c>
      <c r="B11" s="34">
        <v>0</v>
      </c>
    </row>
    <row r="12" spans="1:8" x14ac:dyDescent="0.15">
      <c r="A12" s="31" t="s">
        <v>42</v>
      </c>
      <c r="B12" s="46">
        <v>0.01</v>
      </c>
    </row>
    <row r="14" spans="1:8" x14ac:dyDescent="0.15">
      <c r="A14" s="31" t="s">
        <v>28</v>
      </c>
      <c r="B14" s="32">
        <v>1000</v>
      </c>
    </row>
    <row r="15" spans="1:8" x14ac:dyDescent="0.15">
      <c r="A15" s="26"/>
    </row>
    <row r="16" spans="1:8" x14ac:dyDescent="0.15">
      <c r="A16" s="27" t="s">
        <v>29</v>
      </c>
      <c r="B16" s="47">
        <v>240052.73232717163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Stop Loss Hedging">
              <controlPr defaultSize="0" print="0" autoFill="0" autoPict="0" macro="[0]!StopLossHedging.StopLossHedging" altText="Stop Loss Hedging">
                <anchor moveWithCells="1" sizeWithCells="1">
                  <from>
                    <xdr:col>0</xdr:col>
                    <xdr:colOff>279400</xdr:colOff>
                    <xdr:row>1</xdr:row>
                    <xdr:rowOff>139700</xdr:rowOff>
                  </from>
                  <to>
                    <xdr:col>1</xdr:col>
                    <xdr:colOff>444500</xdr:colOff>
                    <xdr:row>1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2094-AE20-AB49-899E-AE51296DB30B}">
  <sheetPr codeName="Sheet4"/>
  <dimension ref="A1:D8"/>
  <sheetViews>
    <sheetView zoomScale="107" workbookViewId="0">
      <selection activeCell="B6" sqref="B6"/>
    </sheetView>
  </sheetViews>
  <sheetFormatPr baseColWidth="10" defaultRowHeight="13" x14ac:dyDescent="0.15"/>
  <cols>
    <col min="1" max="1" width="19.1640625" bestFit="1" customWidth="1"/>
    <col min="2" max="3" width="18.83203125" bestFit="1" customWidth="1"/>
    <col min="4" max="4" width="15.5" bestFit="1" customWidth="1"/>
  </cols>
  <sheetData>
    <row r="1" spans="1:4" x14ac:dyDescent="0.15">
      <c r="A1" s="49" t="s">
        <v>43</v>
      </c>
      <c r="B1" s="50"/>
      <c r="C1" s="50"/>
      <c r="D1" s="50"/>
    </row>
    <row r="2" spans="1:4" x14ac:dyDescent="0.15">
      <c r="A2" s="51"/>
      <c r="B2" s="51"/>
      <c r="C2" s="51"/>
      <c r="D2" s="51"/>
    </row>
    <row r="3" spans="1:4" x14ac:dyDescent="0.15">
      <c r="A3" s="43"/>
      <c r="B3" s="41" t="s">
        <v>38</v>
      </c>
      <c r="C3" s="41" t="s">
        <v>39</v>
      </c>
      <c r="D3" s="41" t="s">
        <v>40</v>
      </c>
    </row>
    <row r="4" spans="1:4" ht="28" x14ac:dyDescent="0.15">
      <c r="A4" s="42" t="s">
        <v>35</v>
      </c>
      <c r="B4" s="44">
        <v>1424949.2041958158</v>
      </c>
      <c r="C4" s="44" cm="1">
        <f t="array" ref="C4:C8">TRANSPOSE('Monte Carlo delta hedge'!D3:H3)</f>
        <v>-60010.567741671228</v>
      </c>
      <c r="D4" s="44" cm="1">
        <f t="array" ref="D4:D8">TRANSPOSE('Monte Carlo Stop loss hedge'!D3:H3)</f>
        <v>-42847.082413558754</v>
      </c>
    </row>
    <row r="5" spans="1:4" ht="28" x14ac:dyDescent="0.15">
      <c r="A5" s="42" t="s">
        <v>34</v>
      </c>
      <c r="B5" s="44">
        <v>1340926.6447983438</v>
      </c>
      <c r="C5" s="44">
        <v>17790.058065730784</v>
      </c>
      <c r="D5" s="44">
        <v>193990.99133839435</v>
      </c>
    </row>
    <row r="6" spans="1:4" ht="28" x14ac:dyDescent="0.15">
      <c r="A6" s="42" t="s">
        <v>32</v>
      </c>
      <c r="B6" s="44">
        <v>3898346.1884284522</v>
      </c>
      <c r="C6" s="44">
        <v>9891.8254686863384</v>
      </c>
      <c r="D6" s="44">
        <v>706715.66069780942</v>
      </c>
    </row>
    <row r="7" spans="1:4" ht="28" x14ac:dyDescent="0.15">
      <c r="A7" s="42" t="s">
        <v>33</v>
      </c>
      <c r="B7" s="44">
        <v>-308401.31937391683</v>
      </c>
      <c r="C7" s="44">
        <v>-143522.43660216592</v>
      </c>
      <c r="D7" s="44">
        <v>-305824.68448593142</v>
      </c>
    </row>
    <row r="8" spans="1:4" ht="28" x14ac:dyDescent="0.15">
      <c r="A8" s="42" t="s">
        <v>41</v>
      </c>
      <c r="B8" s="44">
        <v>52160.466106639637</v>
      </c>
      <c r="C8" s="44">
        <v>386855.12599999999</v>
      </c>
      <c r="D8" s="45">
        <v>269800</v>
      </c>
    </row>
  </sheetData>
  <mergeCells count="1">
    <mergeCell ref="A1:D2"/>
  </mergeCells>
  <conditionalFormatting sqref="B4:D4">
    <cfRule type="colorScale" priority="1">
      <colorScale>
        <cfvo type="min"/>
        <cfvo type="percentile" val="50"/>
        <cfvo type="max"/>
        <color rgb="FF00B050"/>
        <color rgb="FFFFC000"/>
        <color rgb="FFFF0000"/>
      </colorScale>
    </cfRule>
    <cfRule type="colorScale" priority="10">
      <colorScale>
        <cfvo type="min"/>
        <cfvo type="max"/>
        <color rgb="FF00B050"/>
        <color rgb="FFFFC000"/>
      </colorScale>
    </cfRule>
    <cfRule type="colorScale" priority="14">
      <colorScale>
        <cfvo type="min"/>
        <cfvo type="max"/>
        <color theme="9" tint="0.59999389629810485"/>
        <color rgb="FFFFC000"/>
      </colorScale>
    </cfRule>
  </conditionalFormatting>
  <conditionalFormatting sqref="B4:D8">
    <cfRule type="colorScale" priority="11">
      <colorScale>
        <cfvo type="min"/>
        <cfvo type="percentile" val="50"/>
        <cfvo type="max"/>
        <color rgb="FFFF0000"/>
        <color rgb="FFFFC000"/>
        <color rgb="FF00B050"/>
      </colorScale>
    </cfRule>
    <cfRule type="colorScale" priority="13">
      <colorScale>
        <cfvo type="min"/>
        <cfvo type="max"/>
        <color theme="9" tint="0.59999389629810485"/>
        <color theme="5" tint="0.39997558519241921"/>
      </colorScale>
    </cfRule>
  </conditionalFormatting>
  <conditionalFormatting sqref="I7">
    <cfRule type="dataBar" priority="12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{825B4ABA-07D3-F04F-9ED5-2B8A0A11978B}</x14:id>
        </ext>
      </extLst>
    </cfRule>
  </conditionalFormatting>
  <conditionalFormatting sqref="B5:D5">
    <cfRule type="colorScale" priority="2">
      <colorScale>
        <cfvo type="min"/>
        <cfvo type="percentile" val="50"/>
        <cfvo type="max"/>
        <color rgb="FF00B050"/>
        <color rgb="FFFFC000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00B050"/>
        <color rgb="FFFFC000"/>
      </colorScale>
    </cfRule>
  </conditionalFormatting>
  <conditionalFormatting sqref="B6:D6">
    <cfRule type="colorScale" priority="7">
      <colorScale>
        <cfvo type="min"/>
        <cfvo type="percentile" val="50"/>
        <cfvo type="max"/>
        <color rgb="FF00B050"/>
        <color rgb="FFFFC000"/>
        <color rgb="FFFF0000"/>
      </colorScale>
    </cfRule>
    <cfRule type="colorScale" priority="8">
      <colorScale>
        <cfvo type="min"/>
        <cfvo type="max"/>
        <color rgb="FF00B050"/>
        <color rgb="FFFFC000"/>
      </colorScale>
    </cfRule>
  </conditionalFormatting>
  <conditionalFormatting sqref="B7:D7">
    <cfRule type="colorScale" priority="6">
      <colorScale>
        <cfvo type="min"/>
        <cfvo type="percentile" val="50"/>
        <cfvo type="max"/>
        <color rgb="FF00B050"/>
        <color rgb="FFFFC000"/>
        <color rgb="FFFF0000"/>
      </colorScale>
    </cfRule>
  </conditionalFormatting>
  <conditionalFormatting sqref="B8:D8">
    <cfRule type="colorScale" priority="4">
      <colorScale>
        <cfvo type="min"/>
        <cfvo type="percentile" val="50"/>
        <cfvo type="max"/>
        <color rgb="FF00B050"/>
        <color rgb="FFFFC000"/>
        <color rgb="FFFF0000"/>
      </colorScale>
    </cfRule>
    <cfRule type="colorScale" priority="5">
      <colorScale>
        <cfvo type="min"/>
        <cfvo type="percentile" val="50"/>
        <cfvo type="max"/>
        <color rgb="FFFF0000"/>
        <color rgb="FFFFC000"/>
        <color rgb="FF00B050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B4ABA-07D3-F04F-9ED5-2B8A0A11978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I7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Weekly delta hedging</vt:lpstr>
      <vt:lpstr>Weekly stop-loss</vt:lpstr>
      <vt:lpstr>Monte Carlo delta hedge</vt:lpstr>
      <vt:lpstr>Monte Carlo Stop loss hedge</vt:lpstr>
      <vt:lpstr>Strategies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DEVILLE Laurent</dc:creator>
  <cp:lastModifiedBy>DUPAS Eugène</cp:lastModifiedBy>
  <dcterms:created xsi:type="dcterms:W3CDTF">2023-05-10T07:10:46Z</dcterms:created>
  <dcterms:modified xsi:type="dcterms:W3CDTF">2025-07-28T20:50:11Z</dcterms:modified>
</cp:coreProperties>
</file>